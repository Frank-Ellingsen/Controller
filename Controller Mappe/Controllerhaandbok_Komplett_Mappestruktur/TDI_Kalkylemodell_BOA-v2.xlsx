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I Prosjektkalk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kr #,##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5" fillId="3" borderId="0" pivotButton="0" quotePrefix="0" xfId="0"/>
    <xf numFmtId="164" fontId="5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0" borderId="1" pivotButton="0" quotePrefix="0" xfId="0"/>
    <xf numFmtId="2" fontId="5" fillId="3" borderId="1" pivotButton="0" quotePrefix="0" xfId="0"/>
    <xf numFmtId="165" fontId="5" fillId="3" borderId="1" pivotButton="0" quotePrefix="0" xfId="0"/>
    <xf numFmtId="165" fontId="5" fillId="5" borderId="1" pivotButton="0" quotePrefix="0" xfId="0"/>
    <xf numFmtId="165" fontId="4" fillId="5" borderId="1" pivotButton="0" quotePrefix="0" xfId="0"/>
    <xf numFmtId="0" fontId="4" fillId="0" borderId="2" pivotButton="0" quotePrefix="0" xfId="0"/>
    <xf numFmtId="2" fontId="4" fillId="0" borderId="2" pivotButton="0" quotePrefix="0" xfId="0"/>
    <xf numFmtId="165" fontId="4" fillId="0" borderId="2" pivotButton="0" quotePrefix="0" xfId="0"/>
    <xf numFmtId="165" fontId="0" fillId="3" borderId="0" pivotButton="0" quotePrefix="0" xfId="0"/>
    <xf numFmtId="165" fontId="4" fillId="5" borderId="0" pivotButton="0" quotePrefix="0" xfId="0"/>
    <xf numFmtId="0" fontId="3" fillId="4" borderId="0" pivotButton="0" quotePrefix="0" xfId="0"/>
    <xf numFmtId="165" fontId="3" fillId="4" borderId="0" pivotButton="0" quotePrefix="0" xfId="0"/>
    <xf numFmtId="165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6" customWidth="1" min="3" max="3"/>
    <col width="21" customWidth="1" min="4" max="4"/>
    <col width="20" customWidth="1" min="5" max="5"/>
    <col width="20" customWidth="1" min="6" max="6"/>
    <col width="27" customWidth="1" min="7" max="7"/>
  </cols>
  <sheetData>
    <row r="1">
      <c r="A1" s="1" t="inlineStr">
        <is>
          <t>TDI-PROSJEKTKALKYLE FOR BOA-FORSKNING (Eksempel)</t>
        </is>
      </c>
    </row>
    <row r="2">
      <c r="A2" s="2" t="inlineStr">
        <is>
          <t>Generert for UH-sektoren | Forutsetninger og dynamiske formler</t>
        </is>
      </c>
    </row>
    <row r="3"/>
    <row r="4">
      <c r="A4" s="3" t="inlineStr">
        <is>
          <t>1. PROSJEKTINFORMASJON &amp; FORUTSETNINGER</t>
        </is>
      </c>
    </row>
    <row r="5">
      <c r="A5" s="4" t="inlineStr">
        <is>
          <t>Prosjektnavn:</t>
        </is>
      </c>
      <c r="B5" s="5" t="inlineStr">
        <is>
          <t>Nasjonalt Forskningstiltak for Bærekraftig Økonomistyring</t>
        </is>
      </c>
    </row>
    <row r="6">
      <c r="A6" s="4" t="inlineStr">
        <is>
          <t>Finansieringskilde / Program:</t>
        </is>
      </c>
      <c r="B6" s="5" t="inlineStr">
        <is>
          <t>Norges forskningsråd (NFR) / EU Horizon Europe</t>
        </is>
      </c>
    </row>
    <row r="7">
      <c r="A7" s="4" t="inlineStr">
        <is>
          <t>Prosjektperiode (år):</t>
        </is>
      </c>
      <c r="B7" s="6" t="n">
        <v>3</v>
      </c>
    </row>
    <row r="8">
      <c r="A8" s="4" t="inlineStr">
        <is>
          <t>Arbeidsgiveravgift (%):</t>
        </is>
      </c>
      <c r="B8" s="7" t="n">
        <v>0.141</v>
      </c>
    </row>
    <row r="9">
      <c r="A9" s="4" t="inlineStr">
        <is>
          <t>Sosiale kostnader / Pensjon (%):</t>
        </is>
      </c>
      <c r="B9" s="7" t="n">
        <v>0.2</v>
      </c>
    </row>
    <row r="10">
      <c r="A10" s="4" t="inlineStr">
        <is>
          <t>TDI Overhead-sats per time (kr):</t>
        </is>
      </c>
      <c r="B10" s="6" t="n">
        <v>250</v>
      </c>
    </row>
    <row r="11">
      <c r="A11" s="4" t="inlineStr">
        <is>
          <t>Standard arbeidstimer per årsverk:</t>
        </is>
      </c>
      <c r="B11" s="6" t="n">
        <v>1650</v>
      </c>
    </row>
    <row r="12"/>
    <row r="13">
      <c r="A13" s="3" t="inlineStr">
        <is>
          <t>2. PERSONALKOSTNADER &amp; TDI-OVERHEAD (PER ÅR)</t>
        </is>
      </c>
    </row>
    <row r="14">
      <c r="A14" s="8" t="inlineStr">
        <is>
          <t>Stillingstype / Rolle</t>
        </is>
      </c>
      <c r="B14" s="8" t="inlineStr">
        <is>
          <t>Årsverk (FTE)</t>
        </is>
      </c>
      <c r="C14" s="8" t="inlineStr">
        <is>
          <t>Årslønn (kr)</t>
        </is>
      </c>
      <c r="D14" s="8" t="inlineStr">
        <is>
          <t>Sosiale kost. (kr)</t>
        </is>
      </c>
      <c r="E14" s="8" t="inlineStr">
        <is>
          <t>Direkte Lønn (kr)</t>
        </is>
      </c>
      <c r="F14" s="8" t="inlineStr">
        <is>
          <t>TDI Overhead (kr)</t>
        </is>
      </c>
      <c r="G14" s="8" t="inlineStr">
        <is>
          <t>Sum Personalkostnad (kr)</t>
        </is>
      </c>
    </row>
    <row r="15">
      <c r="A15" s="9" t="inlineStr">
        <is>
          <t>Prosjektleder / Professor</t>
        </is>
      </c>
      <c r="B15" s="10" t="n">
        <v>0.3</v>
      </c>
      <c r="C15" s="11" t="n">
        <v>950000</v>
      </c>
      <c r="D15" s="12">
        <f>C15*(B8+B9)</f>
        <v/>
      </c>
      <c r="E15" s="12">
        <f>B15*(C15+D15)</f>
        <v/>
      </c>
      <c r="F15" s="12">
        <f>B15*B11*B10</f>
        <v/>
      </c>
      <c r="G15" s="13">
        <f>E15+F15</f>
        <v/>
      </c>
    </row>
    <row r="16">
      <c r="A16" s="9" t="inlineStr">
        <is>
          <t>Postdoktor</t>
        </is>
      </c>
      <c r="B16" s="10" t="n">
        <v>1</v>
      </c>
      <c r="C16" s="11" t="n">
        <v>620000</v>
      </c>
      <c r="D16" s="12">
        <f>C16*(B8+B9)</f>
        <v/>
      </c>
      <c r="E16" s="12">
        <f>B16*(C16+D16)</f>
        <v/>
      </c>
      <c r="F16" s="12">
        <f>B16*B11*B10</f>
        <v/>
      </c>
      <c r="G16" s="13">
        <f>E16+F16</f>
        <v/>
      </c>
    </row>
    <row r="17">
      <c r="A17" s="9" t="inlineStr">
        <is>
          <t>Stipendiat (PhD)</t>
        </is>
      </c>
      <c r="B17" s="10" t="n">
        <v>1</v>
      </c>
      <c r="C17" s="11" t="n">
        <v>520000</v>
      </c>
      <c r="D17" s="12">
        <f>C17*(B8+B9)</f>
        <v/>
      </c>
      <c r="E17" s="12">
        <f>B17*(C17+D17)</f>
        <v/>
      </c>
      <c r="F17" s="12">
        <f>B17*B11*B10</f>
        <v/>
      </c>
      <c r="G17" s="13">
        <f>E17+F17</f>
        <v/>
      </c>
    </row>
    <row r="18">
      <c r="A18" s="9" t="inlineStr">
        <is>
          <t>Forsker / Senioringeniør</t>
        </is>
      </c>
      <c r="B18" s="10" t="n">
        <v>0.5</v>
      </c>
      <c r="C18" s="11" t="n">
        <v>700000</v>
      </c>
      <c r="D18" s="12">
        <f>C18*(B8+B9)</f>
        <v/>
      </c>
      <c r="E18" s="12">
        <f>B18*(C18+D18)</f>
        <v/>
      </c>
      <c r="F18" s="12">
        <f>B18*B11*B10</f>
        <v/>
      </c>
      <c r="G18" s="13">
        <f>E18+F18</f>
        <v/>
      </c>
    </row>
    <row r="19">
      <c r="A19" s="14" t="inlineStr">
        <is>
          <t>Sum Personale per år:</t>
        </is>
      </c>
      <c r="B19" s="15">
        <f>SUM(B15:B18)</f>
        <v/>
      </c>
      <c r="C19" s="14" t="n"/>
      <c r="D19" s="14" t="n"/>
      <c r="E19" s="16">
        <f>SUM(E15:E18)</f>
        <v/>
      </c>
      <c r="F19" s="16">
        <f>SUM(F15:F18)</f>
        <v/>
      </c>
      <c r="G19" s="16">
        <f>SUM(G15:G18)</f>
        <v/>
      </c>
    </row>
    <row r="20"/>
    <row r="21">
      <c r="A21" s="3" t="inlineStr">
        <is>
          <t>3. DIREKTE DRIFTSKOSTNADER (PER ÅR)</t>
        </is>
      </c>
    </row>
    <row r="22">
      <c r="A22" s="8" t="inlineStr">
        <is>
          <t>Kostnadsart / Beskrivelse</t>
        </is>
      </c>
      <c r="B22" s="8" t="inlineStr">
        <is>
          <t>År 1 (kr)</t>
        </is>
      </c>
      <c r="C22" s="8" t="inlineStr">
        <is>
          <t>År 2 (kr)</t>
        </is>
      </c>
      <c r="D22" s="8" t="inlineStr">
        <is>
          <t>År 3 (kr)</t>
        </is>
      </c>
      <c r="E22" s="8" t="inlineStr">
        <is>
          <t>Totalt 3 År (kr)</t>
        </is>
      </c>
    </row>
    <row r="23">
      <c r="A23" s="5" t="inlineStr">
        <is>
          <t>Vitenskapelig feltarbeid &amp; reiser</t>
        </is>
      </c>
      <c r="B23" s="17" t="n">
        <v>120000</v>
      </c>
      <c r="C23" s="17" t="n">
        <v>150000</v>
      </c>
      <c r="D23" s="17" t="n">
        <v>100000</v>
      </c>
      <c r="E23" s="18">
        <f>SUM(B23:D23)</f>
        <v/>
      </c>
    </row>
    <row r="24">
      <c r="A24" s="5" t="inlineStr">
        <is>
          <t>Laboratorierekvisita og forbruksmateriell</t>
        </is>
      </c>
      <c r="B24" s="17" t="n">
        <v>80000</v>
      </c>
      <c r="C24" s="17" t="n">
        <v>90000</v>
      </c>
      <c r="D24" s="17" t="n">
        <v>50000</v>
      </c>
      <c r="E24" s="18">
        <f>SUM(B24:D24)</f>
        <v/>
      </c>
    </row>
    <row r="25">
      <c r="A25" s="5" t="inlineStr">
        <is>
          <t>Underleverandører / Ekstern konsulent</t>
        </is>
      </c>
      <c r="B25" s="17" t="n">
        <v>150000</v>
      </c>
      <c r="C25" s="17" t="n">
        <v>100000</v>
      </c>
      <c r="D25" s="17" t="n">
        <v>50000</v>
      </c>
      <c r="E25" s="18">
        <f>SUM(B25:D25)</f>
        <v/>
      </c>
    </row>
    <row r="26">
      <c r="A26" s="5" t="inlineStr">
        <is>
          <t>Publisering (Open Access) &amp; Disseminering</t>
        </is>
      </c>
      <c r="B26" s="17" t="n">
        <v>30000</v>
      </c>
      <c r="C26" s="17" t="n">
        <v>40000</v>
      </c>
      <c r="D26" s="17" t="n">
        <v>80000</v>
      </c>
      <c r="E26" s="18">
        <f>SUM(B26:D26)</f>
        <v/>
      </c>
    </row>
    <row r="27">
      <c r="A27" s="5" t="inlineStr">
        <is>
          <t>Konferanser og nettverksmøter</t>
        </is>
      </c>
      <c r="B27" s="17" t="n">
        <v>50000</v>
      </c>
      <c r="C27" s="17" t="n">
        <v>60000</v>
      </c>
      <c r="D27" s="17" t="n">
        <v>70000</v>
      </c>
      <c r="E27" s="18">
        <f>SUM(B27:D27)</f>
        <v/>
      </c>
    </row>
    <row r="28">
      <c r="A28" s="14" t="inlineStr">
        <is>
          <t>Sum Driftskostnader:</t>
        </is>
      </c>
      <c r="B28" s="16">
        <f>SUM(B23:B27)</f>
        <v/>
      </c>
      <c r="C28" s="16">
        <f>SUM(C23:C27)</f>
        <v/>
      </c>
      <c r="D28" s="16">
        <f>SUM(D23:D27)</f>
        <v/>
      </c>
      <c r="E28" s="16">
        <f>SUM(E23:E27)</f>
        <v/>
      </c>
    </row>
    <row r="29"/>
    <row r="30">
      <c r="A30" s="3" t="inlineStr">
        <is>
          <t>4. TOTALLKALKYLE OG FINANSIERINGSPLAN (3-ÅRIG PROSJEKT)</t>
        </is>
      </c>
    </row>
    <row r="31">
      <c r="A31" s="4" t="inlineStr">
        <is>
          <t>Totale Personalkostnader (Lønn + Sosiale):</t>
        </is>
      </c>
      <c r="B31" s="18">
        <f>E19*B7</f>
        <v/>
      </c>
    </row>
    <row r="32">
      <c r="A32" s="4" t="inlineStr">
        <is>
          <t>Totale TDI Indirekte kostnader (Overhead):</t>
        </is>
      </c>
      <c r="B32" s="18">
        <f>F19*B7</f>
        <v/>
      </c>
    </row>
    <row r="33">
      <c r="A33" s="4" t="inlineStr">
        <is>
          <t>Totale Direkte Driftskostnader:</t>
        </is>
      </c>
      <c r="B33" s="18">
        <f>E28</f>
        <v/>
      </c>
    </row>
    <row r="34">
      <c r="A34" s="19" t="inlineStr">
        <is>
          <t>TOTAL PROSJEKTKOSTNAD (TDI):</t>
        </is>
      </c>
      <c r="B34" s="20">
        <f>SUM(B31:B33)</f>
        <v/>
      </c>
    </row>
    <row r="35"/>
    <row r="36">
      <c r="A36" s="4" t="inlineStr">
        <is>
          <t>Finansieringskilde / Inndekning:</t>
        </is>
      </c>
      <c r="B36" s="19" t="inlineStr">
        <is>
          <t>Beløp (kr)</t>
        </is>
      </c>
    </row>
    <row r="37">
      <c r="A37" s="5" t="inlineStr">
        <is>
          <t>Søkt Ekstern Finansiering (NFR / EU Grant):</t>
        </is>
      </c>
      <c r="B37" s="21" t="n">
        <v>7500000</v>
      </c>
    </row>
    <row r="38">
      <c r="A38" s="5" t="inlineStr">
        <is>
          <t>Egenfinansiering / Intern Medfinansiering (Egenandel):</t>
        </is>
      </c>
      <c r="B38" s="18">
        <f>B34-B37</f>
        <v/>
      </c>
    </row>
    <row r="39">
      <c r="A39" s="4" t="inlineStr">
        <is>
          <t>SUM FINANSIERING:</t>
        </is>
      </c>
      <c r="B39" s="20">
        <f>SUM(B37:B38)</f>
        <v/>
      </c>
    </row>
  </sheetData>
  <mergeCells count="4">
    <mergeCell ref="A30:E30"/>
    <mergeCell ref="A13:G13"/>
    <mergeCell ref="A21:F2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2026-10-05T17:42:11Z</dcterms:created>
  <dcterms:modified xmlns:dcterms="http://purl.org/dc/terms/" xmlns:xsi="http://www.w3.org/2001/XMLSchema-instance" xsi:type="dcterms:W3CDTF">2026-10-05T17:42:11Z</dcterms:modified>
</cp:coreProperties>
</file>