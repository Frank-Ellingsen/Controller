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gsats og Timebereg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#,##0 NOK"/>
    <numFmt numFmtId="167" formatCode="#,##0.0"/>
  </numFmts>
  <fonts count="6">
    <font>
      <name val="Calibri"/>
      <family val="2"/>
      <color theme="1"/>
      <sz val="11"/>
      <scheme val="minor"/>
    </font>
    <font>
      <name val="Calibri"/>
      <b val="1"/>
      <color rgb="002F5496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CE6F1"/>
        <bgColor rgb="00DCE6F1"/>
      </patternFill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0" borderId="0" pivotButton="0" quotePrefix="0" xfId="0"/>
    <xf numFmtId="1" fontId="5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0" fontId="3" fillId="2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4" fillId="3" borderId="1" pivotButton="0" quotePrefix="0" xfId="0"/>
    <xf numFmtId="166" fontId="4" fillId="3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167" fontId="4" fillId="3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5" fillId="6" borderId="2" pivotButton="0" quotePrefix="0" xfId="0"/>
    <xf numFmtId="0" fontId="0" fillId="6" borderId="2" pivotButton="0" quotePrefix="0" xfId="0"/>
    <xf numFmtId="166" fontId="5" fillId="6" borderId="2" pivotButton="0" quotePrefix="0" xfId="0"/>
    <xf numFmtId="167" fontId="5" fillId="6" borderId="2" pivotButton="0" quotePrefix="0" xfId="0"/>
    <xf numFmtId="164" fontId="5" fillId="6" borderId="2" pivotButton="0" quotePrefix="0" xfId="0"/>
    <xf numFmtId="0" fontId="5" fillId="0" borderId="0" pivotButton="0" quotePrefix="0" xfId="0"/>
    <xf numFmtId="166" fontId="5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2" customWidth="1" min="3" max="3"/>
    <col width="18" customWidth="1" min="4" max="4"/>
    <col width="22" customWidth="1" min="5" max="5"/>
    <col width="22" customWidth="1" min="6" max="6"/>
    <col width="26" customWidth="1" min="7" max="7"/>
    <col width="20" customWidth="1" min="8" max="8"/>
    <col width="24" customWidth="1" min="9" max="9"/>
    <col width="20" customWidth="1" min="10" max="10"/>
    <col width="24" customWidth="1" min="11" max="11"/>
    <col width="20" customWidth="1" min="12" max="12"/>
  </cols>
  <sheetData>
    <row r="1">
      <c r="A1" s="1" t="inlineStr">
        <is>
          <t>Horisont Europa - Kalkyleark for Dagsats og Timeberegning</t>
        </is>
      </c>
    </row>
    <row r="2">
      <c r="A2" s="2" t="inlineStr">
        <is>
          <t>Verktøy for beregning av personalkostnader, dagsats (215-dagers regel) og EU-prosjektføring i samsvar med MGA</t>
        </is>
      </c>
    </row>
    <row r="4">
      <c r="A4" s="3" t="inlineStr">
        <is>
          <t>1. STANDARDPARAMETERE OG EU-FORUTSETNINGER (MGA)</t>
        </is>
      </c>
    </row>
    <row r="5">
      <c r="A5" s="4" t="inlineStr">
        <is>
          <t>Standard antall arbeidsdager per år (EU MGA standard)</t>
        </is>
      </c>
      <c r="B5" s="5" t="n">
        <v>215</v>
      </c>
      <c r="C5" s="4" t="inlineStr">
        <is>
          <t>dager</t>
        </is>
      </c>
    </row>
    <row r="6">
      <c r="A6" s="4" t="inlineStr">
        <is>
          <t>Standard arbeidstimer per dagsverk (UH-sektoren norm)</t>
        </is>
      </c>
      <c r="B6" s="6" t="n">
        <v>7.5</v>
      </c>
      <c r="C6" s="4" t="inlineStr">
        <is>
          <t>timer/dag</t>
        </is>
      </c>
    </row>
    <row r="7">
      <c r="A7" s="4" t="inlineStr">
        <is>
          <t>Sats for arbeidsgiveravgift (AGA) - Sone 1</t>
        </is>
      </c>
      <c r="B7" s="7" t="n">
        <v>0.141</v>
      </c>
      <c r="C7" s="4" t="inlineStr">
        <is>
          <t>%</t>
        </is>
      </c>
    </row>
    <row r="8">
      <c r="A8" s="4" t="inlineStr">
        <is>
          <t>Pensjonspremie (Statens Pensjonskasse - SPK)</t>
        </is>
      </c>
      <c r="B8" s="7" t="n">
        <v>0.2</v>
      </c>
      <c r="C8" s="4" t="inlineStr">
        <is>
          <t>%</t>
        </is>
      </c>
    </row>
    <row r="10">
      <c r="A10" s="8" t="inlineStr">
        <is>
          <t>2. PERSONALKOSTNADER OG DAGSATSBEREGNING (PER ANSATT)</t>
        </is>
      </c>
    </row>
    <row r="11" ht="28" customHeight="1">
      <c r="A11" s="9" t="inlineStr">
        <is>
          <t>Ansatt ID / Navn</t>
        </is>
      </c>
      <c r="B11" s="9" t="inlineStr">
        <is>
          <t>Stillingstittel</t>
        </is>
      </c>
      <c r="C11" s="9" t="inlineStr">
        <is>
          <t>Årlig Bruttolønn (NOK)</t>
        </is>
      </c>
      <c r="D11" s="9" t="inlineStr">
        <is>
          <t>Feriepenger (NOK)</t>
        </is>
      </c>
      <c r="E11" s="9" t="inlineStr">
        <is>
          <t>Arbeidsgiveravgift (NOK)</t>
        </is>
      </c>
      <c r="F11" s="9" t="inlineStr">
        <is>
          <t>Pensjonskostnad SPK (NOK)</t>
        </is>
      </c>
      <c r="G11" s="9" t="inlineStr">
        <is>
          <t>Total Årlig Lønnskostnad (NOK)</t>
        </is>
      </c>
      <c r="H11" s="9" t="inlineStr">
        <is>
          <t>EU Dagsats (NOK/dag)</t>
        </is>
      </c>
      <c r="I11" s="9" t="inlineStr">
        <is>
          <t>Arbeidede timer på EU-prosjekt</t>
        </is>
      </c>
      <c r="J11" s="9" t="inlineStr">
        <is>
          <t>Beregnet antall EU-dager</t>
        </is>
      </c>
      <c r="K11" s="9" t="inlineStr">
        <is>
          <t>Rapportert EU-kostnad (NOK)</t>
        </is>
      </c>
      <c r="L11" s="9" t="inlineStr">
        <is>
          <t>Sjekk vs. 100% Grense</t>
        </is>
      </c>
    </row>
    <row r="12">
      <c r="A12" s="10" t="inlineStr">
        <is>
          <t>Prof. Kari Nordmann</t>
        </is>
      </c>
      <c r="B12" s="10" t="inlineStr">
        <is>
          <t>Professor / Prosjektleder</t>
        </is>
      </c>
      <c r="C12" s="11" t="n">
        <v>950000</v>
      </c>
      <c r="D12" s="12">
        <f>C12*0.12</f>
        <v/>
      </c>
      <c r="E12" s="12">
        <f>(C12+D12)*$B$7</f>
        <v/>
      </c>
      <c r="F12" s="12">
        <f>C12*$B$8</f>
        <v/>
      </c>
      <c r="G12" s="13">
        <f>SUM(C12:F12)</f>
        <v/>
      </c>
      <c r="H12" s="13">
        <f>G12/$B$5</f>
        <v/>
      </c>
      <c r="I12" s="14" t="n">
        <v>1500</v>
      </c>
      <c r="J12" s="15">
        <f>I12/$B$6</f>
        <v/>
      </c>
      <c r="K12" s="13">
        <f>J12*H12</f>
        <v/>
      </c>
      <c r="L12" s="16">
        <f>IF(J12&lt;=$B$5, "OK", "OVER 215 DAGER")</f>
        <v/>
      </c>
    </row>
    <row r="13">
      <c r="A13" s="10" t="inlineStr">
        <is>
          <t>Dr. Ola Hansen</t>
        </is>
      </c>
      <c r="B13" s="10" t="inlineStr">
        <is>
          <t>Postdoktor</t>
        </is>
      </c>
      <c r="C13" s="11" t="n">
        <v>680000</v>
      </c>
      <c r="D13" s="12">
        <f>C13*0.12</f>
        <v/>
      </c>
      <c r="E13" s="12">
        <f>(C13+D13)*$B$7</f>
        <v/>
      </c>
      <c r="F13" s="12">
        <f>C13*$B$8</f>
        <v/>
      </c>
      <c r="G13" s="13">
        <f>SUM(C13:F13)</f>
        <v/>
      </c>
      <c r="H13" s="13">
        <f>G13/$B$5</f>
        <v/>
      </c>
      <c r="I13" s="14" t="n">
        <v>1200</v>
      </c>
      <c r="J13" s="15">
        <f>I13/$B$6</f>
        <v/>
      </c>
      <c r="K13" s="13">
        <f>J13*H13</f>
        <v/>
      </c>
      <c r="L13" s="16">
        <f>IF(J13&lt;=$B$5, "OK", "OVER 215 DAGER")</f>
        <v/>
      </c>
    </row>
    <row r="14">
      <c r="A14" s="10" t="inlineStr">
        <is>
          <t>MSc. Per Olsen</t>
        </is>
      </c>
      <c r="B14" s="10" t="inlineStr">
        <is>
          <t>Stipendiat (PhD)</t>
        </is>
      </c>
      <c r="C14" s="11" t="n">
        <v>540000</v>
      </c>
      <c r="D14" s="12">
        <f>C14*0.12</f>
        <v/>
      </c>
      <c r="E14" s="12">
        <f>(C14+D14)*$B$7</f>
        <v/>
      </c>
      <c r="F14" s="12">
        <f>C14*$B$8</f>
        <v/>
      </c>
      <c r="G14" s="13">
        <f>SUM(C14:F14)</f>
        <v/>
      </c>
      <c r="H14" s="13">
        <f>G14/$B$5</f>
        <v/>
      </c>
      <c r="I14" s="14" t="n">
        <v>1000</v>
      </c>
      <c r="J14" s="15">
        <f>I14/$B$6</f>
        <v/>
      </c>
      <c r="K14" s="13">
        <f>J14*H14</f>
        <v/>
      </c>
      <c r="L14" s="16">
        <f>IF(J14&lt;=$B$5, "OK", "OVER 215 DAGER")</f>
        <v/>
      </c>
    </row>
    <row r="15">
      <c r="A15" s="10" t="inlineStr">
        <is>
          <t>Ing. Anne Berg</t>
        </is>
      </c>
      <c r="B15" s="10" t="inlineStr">
        <is>
          <t>Senioringeniør / Lab</t>
        </is>
      </c>
      <c r="C15" s="11" t="n">
        <v>620000</v>
      </c>
      <c r="D15" s="12">
        <f>C15*0.12</f>
        <v/>
      </c>
      <c r="E15" s="12">
        <f>(C15+D15)*$B$7</f>
        <v/>
      </c>
      <c r="F15" s="12">
        <f>C15*$B$8</f>
        <v/>
      </c>
      <c r="G15" s="13">
        <f>SUM(C15:F15)</f>
        <v/>
      </c>
      <c r="H15" s="13">
        <f>G15/$B$5</f>
        <v/>
      </c>
      <c r="I15" s="14" t="n">
        <v>500</v>
      </c>
      <c r="J15" s="15">
        <f>I15/$B$6</f>
        <v/>
      </c>
      <c r="K15" s="13">
        <f>J15*H15</f>
        <v/>
      </c>
      <c r="L15" s="16">
        <f>IF(J15&lt;=$B$5, "OK", "OVER 215 DAGER")</f>
        <v/>
      </c>
    </row>
    <row r="16">
      <c r="A16" s="17" t="inlineStr">
        <is>
          <t>TOTALT</t>
        </is>
      </c>
      <c r="B16" s="18" t="n"/>
      <c r="C16" s="19">
        <f>SUM(C12:C15)</f>
        <v/>
      </c>
      <c r="D16" s="18" t="n"/>
      <c r="E16" s="18" t="n"/>
      <c r="F16" s="18" t="n"/>
      <c r="G16" s="19">
        <f>SUM(G12:G15)</f>
        <v/>
      </c>
      <c r="H16" s="18" t="n"/>
      <c r="I16" s="20">
        <f>SUM(I12:I15)</f>
        <v/>
      </c>
      <c r="J16" s="21">
        <f>SUM(J12:J15)</f>
        <v/>
      </c>
      <c r="K16" s="19">
        <f>SUM(K12:K15)</f>
        <v/>
      </c>
      <c r="L16" s="18" t="n"/>
    </row>
    <row r="18">
      <c r="A18" s="8" t="inlineStr">
        <is>
          <t>3. PROSJEKTSUMMERT OG OVERHEAD (HORISONT EUROPA)</t>
        </is>
      </c>
    </row>
    <row r="19">
      <c r="A19" s="4" t="inlineStr">
        <is>
          <t>Totale direkte personalkostnader (EU)</t>
        </is>
      </c>
      <c r="B19" s="13">
        <f>K16</f>
        <v/>
      </c>
    </row>
    <row r="20">
      <c r="A20" s="4" t="inlineStr">
        <is>
          <t>Indirekte kostnader (EU Flat Overhead Rate 25%)</t>
        </is>
      </c>
      <c r="B20" s="13">
        <f>B19*0.25</f>
        <v/>
      </c>
    </row>
    <row r="21">
      <c r="A21" s="22" t="inlineStr">
        <is>
          <t>TOTAL REFUSJONSKRAV PERSONAL + OVERHEAD</t>
        </is>
      </c>
      <c r="B21" s="23">
        <f>B19+B20</f>
        <v/>
      </c>
    </row>
  </sheetData>
  <mergeCells count="3">
    <mergeCell ref="A4:E4"/>
    <mergeCell ref="A10:L10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2026-10-05T17:46:46Z</dcterms:created>
  <dcterms:modified xmlns:dcterms="http://purl.org/dc/terms/" xmlns:xsi="http://www.w3.org/2001/XMLSchema-instance" xsi:type="dcterms:W3CDTF">2026-10-05T17:46:46Z</dcterms:modified>
</cp:coreProperties>
</file>