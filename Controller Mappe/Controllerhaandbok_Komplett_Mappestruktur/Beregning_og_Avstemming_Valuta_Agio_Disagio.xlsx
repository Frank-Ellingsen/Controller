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taavstemming 31.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"/>
    <numFmt numFmtId="166" formatCode="#,##0;[Red]-#,##0"/>
  </numFmts>
  <fonts count="6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color rgb="00333333"/>
      <sz val="11"/>
    </font>
    <font>
      <name val="Calibri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CE6F1"/>
        <bgColor rgb="00DCE6F1"/>
      </patternFill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D6DCE4"/>
        <bgColor rgb="00D6DCE4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2F549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2F5496"/>
      </top>
      <bottom style="double">
        <color rgb="002F5496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0" borderId="0" pivotButton="0" quotePrefix="0" xfId="0"/>
    <xf numFmtId="49" fontId="5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165" fontId="4" fillId="3" borderId="0" applyAlignment="1" pivotButton="0" quotePrefix="0" xfId="0">
      <alignment horizontal="right"/>
    </xf>
    <xf numFmtId="0" fontId="3" fillId="2" borderId="0" pivotButton="0" quotePrefix="0" xfId="0"/>
    <xf numFmtId="0" fontId="3" fillId="4" borderId="1" applyAlignment="1" pivotButton="0" quotePrefix="0" xfId="0">
      <alignment horizontal="left"/>
    </xf>
    <xf numFmtId="0" fontId="3" fillId="4" borderId="1" applyAlignment="1" pivotButton="0" quotePrefix="0" xfId="0">
      <alignment horizontal="center"/>
    </xf>
    <xf numFmtId="0" fontId="5" fillId="0" borderId="2" pivotButton="0" quotePrefix="0" xfId="0"/>
    <xf numFmtId="4" fontId="5" fillId="3" borderId="2" pivotButton="0" quotePrefix="0" xfId="0"/>
    <xf numFmtId="3" fontId="5" fillId="5" borderId="2" pivotButton="0" quotePrefix="0" xfId="0"/>
    <xf numFmtId="166" fontId="5" fillId="5" borderId="2" pivotButton="0" quotePrefix="0" xfId="0"/>
    <xf numFmtId="0" fontId="4" fillId="6" borderId="3" pivotButton="0" quotePrefix="0" xfId="0"/>
    <xf numFmtId="4" fontId="4" fillId="6" borderId="3" pivotButton="0" quotePrefix="0" xfId="0"/>
    <xf numFmtId="3" fontId="4" fillId="6" borderId="3" pivotButton="0" quotePrefix="0" xfId="0"/>
    <xf numFmtId="166" fontId="4" fillId="6" borderId="3" pivotButton="0" quotePrefix="0" xfId="0"/>
    <xf numFmtId="4" fontId="0" fillId="0" borderId="2" pivotButton="0" quotePrefix="0" xfId="0"/>
    <xf numFmtId="166" fontId="0" fillId="0" borderId="2" pivotButton="0" quotePrefix="0" xfId="0"/>
    <xf numFmtId="0" fontId="0" fillId="0" borderId="2" applyAlignment="1" pivotButton="0" quotePrefix="0" xfId="0">
      <alignment horizontal="center"/>
    </xf>
    <xf numFmtId="0" fontId="4" fillId="6" borderId="3" applyAlignment="1" pivotButton="0" quotePrefix="0" xfId="0">
      <alignment horizontal="center"/>
    </xf>
    <xf numFmtId="0" fontId="0" fillId="0" borderId="2" pivotButton="0" quotePrefix="0" xfId="0"/>
    <xf numFmtId="3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8" customWidth="1" min="3" max="3"/>
    <col width="32" customWidth="1" min="4" max="4"/>
    <col width="55" customWidth="1" min="5" max="5"/>
  </cols>
  <sheetData>
    <row r="1">
      <c r="A1" s="1" t="inlineStr">
        <is>
          <t>Beregnings- og Avstemmingsmodell for Agio / Disagio på Valutakonto (EUR) per 31.12</t>
        </is>
      </c>
    </row>
    <row r="2">
      <c r="A2" s="2" t="inlineStr">
        <is>
          <t>For statlige universiteter og høyskoler (SRS 1, SRS 10, R-102) | Versjon 1.0</t>
        </is>
      </c>
    </row>
    <row r="4">
      <c r="A4" s="3" t="inlineStr">
        <is>
          <t>1. VALUTAKURSER OG BALANSEDATO</t>
        </is>
      </c>
    </row>
    <row r="5">
      <c r="A5" s="4" t="inlineStr">
        <is>
          <t>Valuta</t>
        </is>
      </c>
      <c r="B5" s="5" t="inlineStr">
        <is>
          <t>EUR</t>
        </is>
      </c>
      <c r="C5" s="2" t="inlineStr">
        <is>
          <t>Valutakode</t>
        </is>
      </c>
    </row>
    <row r="6">
      <c r="A6" s="4" t="inlineStr">
        <is>
          <t>Dato for årsavslutning</t>
        </is>
      </c>
      <c r="B6" s="6" t="inlineStr">
        <is>
          <t>2026-12-31</t>
        </is>
      </c>
      <c r="C6" s="2" t="inlineStr">
        <is>
          <t>Balanseføringsdato</t>
        </is>
      </c>
    </row>
    <row r="7">
      <c r="A7" s="4" t="inlineStr">
        <is>
          <t>Offisiell kurs per 31.12 (Norges Bank)</t>
        </is>
      </c>
      <c r="B7" s="7" t="n">
        <v>11.85</v>
      </c>
      <c r="C7" s="2" t="inlineStr">
        <is>
          <t>Sluttkurs for urealisert agio/disagio</t>
        </is>
      </c>
    </row>
    <row r="8">
      <c r="A8" s="4" t="inlineStr">
        <is>
          <t>Bokført gjenomsnittskurs i regnskapet</t>
        </is>
      </c>
      <c r="B8" s="7" t="n">
        <v>11.5</v>
      </c>
      <c r="C8" s="2" t="inlineStr">
        <is>
          <t>Inngående/bokført valutakurs</t>
        </is>
      </c>
    </row>
    <row r="10">
      <c r="A10" s="8" t="inlineStr">
        <is>
          <t>2. VALUTAKONTO SALDO SPESIFIKASJON (KONTO 192 EUR)</t>
        </is>
      </c>
    </row>
    <row r="11">
      <c r="A11" s="9" t="inlineStr">
        <is>
          <t>Komponent / Delprosjekt</t>
        </is>
      </c>
      <c r="B11" s="10" t="inlineStr">
        <is>
          <t>Beløp i EUR</t>
        </is>
      </c>
      <c r="C11" s="10" t="inlineStr">
        <is>
          <t>Bokført Verdi (NOK)</t>
        </is>
      </c>
      <c r="D11" s="10" t="inlineStr">
        <is>
          <t>Beregnet Verdi (31.12 Kurs)</t>
        </is>
      </c>
      <c r="E11" s="10" t="inlineStr">
        <is>
          <t>Differanse / Avvik (NOK)</t>
        </is>
      </c>
    </row>
    <row r="12">
      <c r="A12" s="11" t="inlineStr">
        <is>
          <t>Egen andel (Universitetet - SRS 10, Konto 218)</t>
        </is>
      </c>
      <c r="B12" s="12" t="n">
        <v>150000</v>
      </c>
      <c r="C12" s="13">
        <f>B12*B8</f>
        <v/>
      </c>
      <c r="D12" s="13">
        <f>B12*$B$7</f>
        <v/>
      </c>
      <c r="E12" s="14">
        <f>D12-C12</f>
        <v/>
      </c>
    </row>
    <row r="13">
      <c r="A13" s="11" t="inlineStr">
        <is>
          <t>Partneres andel (Gjennomstrømning - Konto 250)</t>
        </is>
      </c>
      <c r="B13" s="12" t="n">
        <v>250000</v>
      </c>
      <c r="C13" s="13">
        <f>B13*B8</f>
        <v/>
      </c>
      <c r="D13" s="13">
        <f>B13*$B$7</f>
        <v/>
      </c>
      <c r="E13" s="14">
        <f>D13-C13</f>
        <v/>
      </c>
    </row>
    <row r="14">
      <c r="A14" s="15" t="inlineStr">
        <is>
          <t>SUM VALUTAKONTO (KONTO 192)</t>
        </is>
      </c>
      <c r="B14" s="16">
        <f>SUM(B12:B13)</f>
        <v/>
      </c>
      <c r="C14" s="17">
        <f>SUM(C12:C13)</f>
        <v/>
      </c>
      <c r="D14" s="17">
        <f>SUM(D12:D13)</f>
        <v/>
      </c>
      <c r="E14" s="18">
        <f>SUM(E12:E13)</f>
        <v/>
      </c>
    </row>
    <row r="16">
      <c r="A16" s="8" t="inlineStr">
        <is>
          <t>3. REGNSKAPSMESSIG FORDELING AV AGIO / DISAGIO</t>
        </is>
      </c>
    </row>
    <row r="17">
      <c r="A17" s="9" t="inlineStr">
        <is>
          <t>Kategori</t>
        </is>
      </c>
      <c r="B17" s="10" t="inlineStr">
        <is>
          <t>I EUR</t>
        </is>
      </c>
      <c r="C17" s="10" t="inlineStr">
        <is>
          <t>Urealisert Avvik (NOK)</t>
        </is>
      </c>
      <c r="D17" s="10" t="inlineStr">
        <is>
          <t>Konto i R-102</t>
        </is>
      </c>
      <c r="E17" s="9" t="inlineStr">
        <is>
          <t>Regnskapsmessig Behandling</t>
        </is>
      </c>
    </row>
    <row r="18">
      <c r="A18" s="11" t="inlineStr">
        <is>
          <t>Egen andel (Agio/Disagio)</t>
        </is>
      </c>
      <c r="B18" s="19">
        <f>B12</f>
        <v/>
      </c>
      <c r="C18" s="20">
        <f>E12</f>
        <v/>
      </c>
      <c r="D18" s="21">
        <f>IF(E12&gt;0, "806 Netto Agio", "816 Netto Disagio")</f>
        <v/>
      </c>
      <c r="E18" s="11" t="inlineStr">
        <is>
          <t>Resultatføres i eget resultatregnskap (SRS 1)</t>
        </is>
      </c>
    </row>
    <row r="19">
      <c r="A19" s="11" t="inlineStr">
        <is>
          <t>Partneres andel (Valutajustering)</t>
        </is>
      </c>
      <c r="B19" s="19">
        <f>B13</f>
        <v/>
      </c>
      <c r="C19" s="20">
        <f>E13</f>
        <v/>
      </c>
      <c r="D19" s="21" t="inlineStr">
        <is>
          <t>250 Gjeld ved tilskuddsforv.</t>
        </is>
      </c>
      <c r="E19" s="11" t="inlineStr">
        <is>
          <t>Balanseføres mot Konto 250 (Gjennomstrømning, SRS 10 pkt 23)</t>
        </is>
      </c>
    </row>
    <row r="20">
      <c r="A20" s="15" t="inlineStr">
        <is>
          <t>SUM UREALISERT VALUTAJUSTERING</t>
        </is>
      </c>
      <c r="B20" s="16">
        <f>SUM(B18:B19)</f>
        <v/>
      </c>
      <c r="C20" s="18">
        <f>SUM(C18:C19)</f>
        <v/>
      </c>
      <c r="D20" s="22" t="inlineStr">
        <is>
          <t>192 Valutakonto</t>
        </is>
      </c>
      <c r="E20" s="15" t="inlineStr">
        <is>
          <t>Justering av saldo på Konto 192 per 31.12</t>
        </is>
      </c>
    </row>
    <row r="22">
      <c r="A22" s="8" t="inlineStr">
        <is>
          <t>4. AUTOMATISK GENERERT KONTERINGSBILAG PER 31.12</t>
        </is>
      </c>
    </row>
    <row r="23">
      <c r="A23" s="10" t="inlineStr">
        <is>
          <t>Konto (R-102)</t>
        </is>
      </c>
      <c r="B23" s="9" t="inlineStr">
        <is>
          <t>Kontonavn</t>
        </is>
      </c>
      <c r="C23" s="10" t="inlineStr">
        <is>
          <t>Debet (NOK)</t>
        </is>
      </c>
      <c r="D23" s="10" t="inlineStr">
        <is>
          <t>Kredit (NOK)</t>
        </is>
      </c>
      <c r="E23" s="9" t="inlineStr">
        <is>
          <t>Forklaring / Tekst</t>
        </is>
      </c>
    </row>
    <row r="24">
      <c r="A24" s="21" t="inlineStr">
        <is>
          <t>192</t>
        </is>
      </c>
      <c r="B24" s="23" t="inlineStr">
        <is>
          <t>Bankinnskudd valutakonto (EUR)</t>
        </is>
      </c>
      <c r="C24" s="24">
        <f>IF(C20&gt;0, C20, 0)</f>
        <v/>
      </c>
      <c r="D24" s="24">
        <f>IF(C20&lt;0, ABS(C20), 0)</f>
        <v/>
      </c>
      <c r="E24" s="23" t="inlineStr">
        <is>
          <t>Oppskriving/nedskriving valutakonto til 31.12 kurs</t>
        </is>
      </c>
    </row>
    <row r="25">
      <c r="A25" s="21" t="inlineStr">
        <is>
          <t>250</t>
        </is>
      </c>
      <c r="B25" s="23" t="inlineStr">
        <is>
          <t>Gjeld ved tilskuddsforvaltning</t>
        </is>
      </c>
      <c r="C25" s="24">
        <f>IF(C19&lt;0, ABS(C19), 0)</f>
        <v/>
      </c>
      <c r="D25" s="24">
        <f>IF(C19&gt;0, C19, 0)</f>
        <v/>
      </c>
      <c r="E25" s="23" t="inlineStr">
        <is>
          <t>Valutajustering av partneres gjeldsbalanse</t>
        </is>
      </c>
    </row>
    <row r="26">
      <c r="A26" s="21" t="inlineStr">
        <is>
          <t>806</t>
        </is>
      </c>
      <c r="B26" s="23" t="inlineStr">
        <is>
          <t>Netto agio (Valutagevinst)</t>
        </is>
      </c>
      <c r="C26" s="24" t="n">
        <v>0</v>
      </c>
      <c r="D26" s="24">
        <f>IF(C18&gt;0, C18, 0)</f>
        <v/>
      </c>
      <c r="E26" s="23" t="inlineStr">
        <is>
          <t>Urealisert agio egen andel (Inntekt)</t>
        </is>
      </c>
    </row>
    <row r="27">
      <c r="A27" s="21" t="inlineStr">
        <is>
          <t>816</t>
        </is>
      </c>
      <c r="B27" s="23" t="inlineStr">
        <is>
          <t>Netto disagio (Valutatap)</t>
        </is>
      </c>
      <c r="C27" s="24">
        <f>IF(C18&lt;0, ABS(C18), 0)</f>
        <v/>
      </c>
      <c r="D27" s="24" t="n">
        <v>0</v>
      </c>
      <c r="E27" s="23" t="inlineStr">
        <is>
          <t>Urealisert disagio egen andel (Kostnad)</t>
        </is>
      </c>
    </row>
    <row r="28">
      <c r="A28" s="15" t="inlineStr">
        <is>
          <t>SUM</t>
        </is>
      </c>
      <c r="B28" s="15" t="inlineStr">
        <is>
          <t>KONTROLL: BALANSERT BILAG</t>
        </is>
      </c>
      <c r="C28" s="17">
        <f>SUM(C24:C27)</f>
        <v/>
      </c>
      <c r="D28" s="17">
        <f>SUM(D24:D27)</f>
        <v/>
      </c>
      <c r="E28" s="15">
        <f>IF(ABS(C28-D28)&lt;0.01, "BALANSERT", "UAVSTEMT")</f>
        <v/>
      </c>
    </row>
  </sheetData>
  <mergeCells count="4">
    <mergeCell ref="A16:E16"/>
    <mergeCell ref="A22:E22"/>
    <mergeCell ref="A10:E10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2026-10-05T18:03:17Z</dcterms:created>
  <dcterms:modified xmlns:dcterms="http://purl.org/dc/terms/" xmlns:xsi="http://www.w3.org/2001/XMLSchema-instance" xsi:type="dcterms:W3CDTF">2026-10-05T18:03:17Z</dcterms:modified>
</cp:coreProperties>
</file>