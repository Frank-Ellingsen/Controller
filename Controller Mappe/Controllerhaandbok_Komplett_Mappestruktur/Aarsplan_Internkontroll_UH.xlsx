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rsplan Internkont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sz val="10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DCE6F1"/>
        <bgColor rgb="00DCE6F1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showGridLines="1" workbookViewId="0">
      <pane xSplit="5" ySplit="8" topLeftCell="F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28" customWidth="1" min="3" max="3"/>
    <col width="14" customWidth="1" min="4" max="4"/>
    <col width="18" customWidth="1" min="5" max="5"/>
    <col width="5" customWidth="1" min="6" max="6"/>
    <col width="5" customWidth="1" min="7" max="7"/>
    <col width="5" customWidth="1" min="8" max="8"/>
    <col width="8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8" customWidth="1" min="15" max="15"/>
    <col width="5" customWidth="1" min="16" max="16"/>
    <col width="5" customWidth="1" min="17" max="17"/>
    <col width="5" customWidth="1" min="18" max="18"/>
    <col width="5" customWidth="1" min="19" max="19"/>
    <col width="12" customWidth="1" min="20" max="20"/>
    <col width="16" customWidth="1" min="21" max="21"/>
    <col width="35" customWidth="1" min="22" max="22"/>
  </cols>
  <sheetData>
    <row r="1">
      <c r="A1" s="1" t="inlineStr">
        <is>
          <t>ÅRSPLAN FOR INTERNKONTROLL OG TRANSACTIONSKONTROLLER</t>
        </is>
      </c>
    </row>
    <row r="2">
      <c r="A2" s="2" t="inlineStr">
        <is>
          <t>Statlig UH-virksomhet · Forankret i Reglement for økonomistyring § 14 og Bestemmelsene kap. 2.4/2.5</t>
        </is>
      </c>
    </row>
    <row r="4">
      <c r="A4" s="3" t="inlineStr">
        <is>
          <t>KONTROLLSTATUS OPPSUMMERING</t>
        </is>
      </c>
    </row>
    <row r="5">
      <c r="A5" s="4" t="inlineStr">
        <is>
          <t>Total kontrollaktiviteter</t>
        </is>
      </c>
      <c r="B5" s="4" t="inlineStr">
        <is>
          <t>Fullført</t>
        </is>
      </c>
      <c r="C5" s="4" t="inlineStr">
        <is>
          <t>Pågår</t>
        </is>
      </c>
      <c r="D5" s="4" t="inlineStr">
        <is>
          <t>Ikke startet</t>
        </is>
      </c>
      <c r="E5" s="4" t="inlineStr">
        <is>
          <t>Avvik / Oppfølging</t>
        </is>
      </c>
    </row>
    <row r="6">
      <c r="A6" s="5">
        <f>COUNTA(A9:A24)</f>
        <v/>
      </c>
      <c r="B6" s="5">
        <f>COUNTIF(S9:S24, "Fullført")</f>
        <v/>
      </c>
      <c r="C6" s="5">
        <f>COUNTIF(S9:S24, "Pågår")</f>
        <v/>
      </c>
      <c r="D6" s="5">
        <f>COUNTIF(S9:S24, "Ikke startet")</f>
        <v/>
      </c>
      <c r="E6" s="5">
        <f>COUNTIF(S9:S24, "Avvik")</f>
        <v/>
      </c>
    </row>
    <row r="8">
      <c r="A8" s="6" t="inlineStr">
        <is>
          <t>ID</t>
        </is>
      </c>
      <c r="B8" s="6" t="inlineStr">
        <is>
          <t>Kontrollområde / Aktivitet</t>
        </is>
      </c>
      <c r="C8" s="6" t="inlineStr">
        <is>
          <t>Hjemmel / Regelverk</t>
        </is>
      </c>
      <c r="D8" s="6" t="inlineStr">
        <is>
          <t>Hyppighet</t>
        </is>
      </c>
      <c r="E8" s="6" t="inlineStr">
        <is>
          <t>Ansvarlig</t>
        </is>
      </c>
      <c r="F8" s="6" t="inlineStr">
        <is>
          <t>Jan</t>
        </is>
      </c>
      <c r="G8" s="6" t="inlineStr">
        <is>
          <t>Feb</t>
        </is>
      </c>
      <c r="H8" s="6" t="inlineStr">
        <is>
          <t>Mar</t>
        </is>
      </c>
      <c r="I8" s="6" t="inlineStr">
        <is>
          <t>T1-Rapp</t>
        </is>
      </c>
      <c r="J8" s="6" t="inlineStr">
        <is>
          <t>Apr</t>
        </is>
      </c>
      <c r="K8" s="6" t="inlineStr">
        <is>
          <t>Mai</t>
        </is>
      </c>
      <c r="L8" s="6" t="inlineStr">
        <is>
          <t>Jun</t>
        </is>
      </c>
      <c r="M8" s="6" t="inlineStr">
        <is>
          <t>Jul</t>
        </is>
      </c>
      <c r="N8" s="6" t="inlineStr">
        <is>
          <t>Aug</t>
        </is>
      </c>
      <c r="O8" s="6" t="inlineStr">
        <is>
          <t>T2-Rapp</t>
        </is>
      </c>
      <c r="P8" s="6" t="inlineStr">
        <is>
          <t>Sep</t>
        </is>
      </c>
      <c r="Q8" s="6" t="inlineStr">
        <is>
          <t>Okt</t>
        </is>
      </c>
      <c r="R8" s="6" t="inlineStr">
        <is>
          <t>Nov</t>
        </is>
      </c>
      <c r="S8" s="6" t="inlineStr">
        <is>
          <t>Des</t>
        </is>
      </c>
      <c r="T8" s="6" t="inlineStr">
        <is>
          <t>T3 / Årsrapport</t>
        </is>
      </c>
      <c r="U8" s="6" t="inlineStr">
        <is>
          <t>Status 2026</t>
        </is>
      </c>
      <c r="V8" s="6" t="inlineStr">
        <is>
          <t>Dokumentasjon / Merknad</t>
        </is>
      </c>
    </row>
    <row r="9">
      <c r="A9" s="7" t="inlineStr">
        <is>
          <t>K01</t>
        </is>
      </c>
      <c r="B9" s="8" t="inlineStr">
        <is>
          <t>Månedlig balanseavstemming (kto 218, 250, 192)</t>
        </is>
      </c>
      <c r="C9" s="8" t="inlineStr">
        <is>
          <t>Bestemmelsene § 4.4.6 / SRS 10</t>
        </is>
      </c>
      <c r="D9" s="7" t="inlineStr">
        <is>
          <t>Månedlig</t>
        </is>
      </c>
      <c r="E9" s="7" t="inlineStr">
        <is>
          <t>Controller</t>
        </is>
      </c>
      <c r="F9" s="7" t="inlineStr">
        <is>
          <t>X</t>
        </is>
      </c>
      <c r="G9" s="7" t="inlineStr">
        <is>
          <t>X</t>
        </is>
      </c>
      <c r="H9" s="7" t="inlineStr">
        <is>
          <t>X</t>
        </is>
      </c>
      <c r="I9" s="9" t="inlineStr">
        <is>
          <t>R1</t>
        </is>
      </c>
      <c r="J9" s="7" t="inlineStr">
        <is>
          <t>X</t>
        </is>
      </c>
      <c r="K9" s="7" t="inlineStr">
        <is>
          <t>X</t>
        </is>
      </c>
      <c r="L9" s="7" t="inlineStr">
        <is>
          <t>X</t>
        </is>
      </c>
      <c r="M9" s="7" t="inlineStr">
        <is>
          <t>X</t>
        </is>
      </c>
      <c r="N9" s="7" t="inlineStr">
        <is>
          <t>X</t>
        </is>
      </c>
      <c r="O9" s="9" t="inlineStr">
        <is>
          <t>R2</t>
        </is>
      </c>
      <c r="P9" s="7" t="inlineStr">
        <is>
          <t>X</t>
        </is>
      </c>
      <c r="Q9" s="7" t="inlineStr">
        <is>
          <t>X</t>
        </is>
      </c>
      <c r="R9" s="7" t="inlineStr">
        <is>
          <t>X</t>
        </is>
      </c>
      <c r="S9" s="7" t="inlineStr">
        <is>
          <t>X</t>
        </is>
      </c>
      <c r="T9" s="9" t="inlineStr">
        <is>
          <t>R3</t>
        </is>
      </c>
      <c r="U9" s="10" t="inlineStr">
        <is>
          <t>Fullført</t>
        </is>
      </c>
      <c r="V9" s="8" t="inlineStr">
        <is>
          <t>Skriftlig signert avstemmingsmappe</t>
        </is>
      </c>
    </row>
    <row r="10">
      <c r="A10" s="11" t="inlineStr">
        <is>
          <t>K02</t>
        </is>
      </c>
      <c r="B10" s="12" t="inlineStr">
        <is>
          <t>Attestasjons- og BDM-kontroll (To-manns-prinsipp)</t>
        </is>
      </c>
      <c r="C10" s="12" t="inlineStr">
        <is>
          <t>Bestemmelsene § 2.5.2</t>
        </is>
      </c>
      <c r="D10" s="11" t="inlineStr">
        <is>
          <t>Løpende/Mnd</t>
        </is>
      </c>
      <c r="E10" s="11" t="inlineStr">
        <is>
          <t>Controller/BDM</t>
        </is>
      </c>
      <c r="F10" s="11" t="inlineStr">
        <is>
          <t>X</t>
        </is>
      </c>
      <c r="G10" s="11" t="inlineStr">
        <is>
          <t>X</t>
        </is>
      </c>
      <c r="H10" s="11" t="inlineStr">
        <is>
          <t>X</t>
        </is>
      </c>
      <c r="I10" s="9" t="inlineStr">
        <is>
          <t>R1</t>
        </is>
      </c>
      <c r="J10" s="11" t="inlineStr">
        <is>
          <t>X</t>
        </is>
      </c>
      <c r="K10" s="11" t="inlineStr">
        <is>
          <t>X</t>
        </is>
      </c>
      <c r="L10" s="11" t="inlineStr">
        <is>
          <t>X</t>
        </is>
      </c>
      <c r="M10" s="11" t="inlineStr">
        <is>
          <t>X</t>
        </is>
      </c>
      <c r="N10" s="11" t="inlineStr">
        <is>
          <t>X</t>
        </is>
      </c>
      <c r="O10" s="9" t="inlineStr">
        <is>
          <t>R2</t>
        </is>
      </c>
      <c r="P10" s="11" t="inlineStr">
        <is>
          <t>X</t>
        </is>
      </c>
      <c r="Q10" s="11" t="inlineStr">
        <is>
          <t>X</t>
        </is>
      </c>
      <c r="R10" s="11" t="inlineStr">
        <is>
          <t>X</t>
        </is>
      </c>
      <c r="S10" s="11" t="inlineStr">
        <is>
          <t>X</t>
        </is>
      </c>
      <c r="T10" s="9" t="inlineStr">
        <is>
          <t>R3</t>
        </is>
      </c>
      <c r="U10" s="10" t="inlineStr">
        <is>
          <t>Fullført</t>
        </is>
      </c>
      <c r="V10" s="12" t="inlineStr">
        <is>
          <t>Stikkprøver og stengt funksjonsskille</t>
        </is>
      </c>
    </row>
    <row r="11">
      <c r="A11" s="7" t="inlineStr">
        <is>
          <t>K03</t>
        </is>
      </c>
      <c r="B11" s="8" t="inlineStr">
        <is>
          <t>Oppfølging og kontroll av timelister (215 dager)</t>
        </is>
      </c>
      <c r="C11" s="8" t="inlineStr">
        <is>
          <t>Horisont Europa MGA / UHR</t>
        </is>
      </c>
      <c r="D11" s="7" t="inlineStr">
        <is>
          <t>Månedlig</t>
        </is>
      </c>
      <c r="E11" s="7" t="inlineStr">
        <is>
          <t>Controller/PL</t>
        </is>
      </c>
      <c r="F11" s="7" t="inlineStr">
        <is>
          <t>X</t>
        </is>
      </c>
      <c r="G11" s="7" t="inlineStr">
        <is>
          <t>X</t>
        </is>
      </c>
      <c r="H11" s="7" t="inlineStr">
        <is>
          <t>X</t>
        </is>
      </c>
      <c r="I11" s="9" t="inlineStr">
        <is>
          <t>R1</t>
        </is>
      </c>
      <c r="J11" s="7" t="inlineStr">
        <is>
          <t>X</t>
        </is>
      </c>
      <c r="K11" s="7" t="inlineStr">
        <is>
          <t>X</t>
        </is>
      </c>
      <c r="L11" s="7" t="inlineStr">
        <is>
          <t>X</t>
        </is>
      </c>
      <c r="M11" s="7" t="inlineStr">
        <is>
          <t>X</t>
        </is>
      </c>
      <c r="N11" s="7" t="inlineStr">
        <is>
          <t>X</t>
        </is>
      </c>
      <c r="O11" s="9" t="inlineStr">
        <is>
          <t>R2</t>
        </is>
      </c>
      <c r="P11" s="7" t="inlineStr">
        <is>
          <t>X</t>
        </is>
      </c>
      <c r="Q11" s="7" t="inlineStr">
        <is>
          <t>X</t>
        </is>
      </c>
      <c r="R11" s="7" t="inlineStr">
        <is>
          <t>X</t>
        </is>
      </c>
      <c r="S11" s="7" t="inlineStr">
        <is>
          <t>X</t>
        </is>
      </c>
      <c r="T11" s="9" t="inlineStr">
        <is>
          <t>R3</t>
        </is>
      </c>
      <c r="U11" s="10" t="inlineStr">
        <is>
          <t>Pågår</t>
        </is>
      </c>
      <c r="V11" s="8" t="inlineStr">
        <is>
          <t>Månedlig timelistesjekkliste</t>
        </is>
      </c>
    </row>
    <row r="12">
      <c r="A12" s="11" t="inlineStr">
        <is>
          <t>K04</t>
        </is>
      </c>
      <c r="B12" s="12" t="inlineStr">
        <is>
          <t>Kontroll av masterdata (kontonummer og leverandører)</t>
        </is>
      </c>
      <c r="C12" s="12" t="inlineStr">
        <is>
          <t>Bestemmelsene § 5.2.4</t>
        </is>
      </c>
      <c r="D12" s="11" t="inlineStr">
        <is>
          <t>Månedlig</t>
        </is>
      </c>
      <c r="E12" s="11" t="inlineStr">
        <is>
          <t>Regnskap</t>
        </is>
      </c>
      <c r="F12" s="11" t="inlineStr">
        <is>
          <t>X</t>
        </is>
      </c>
      <c r="G12" s="11" t="inlineStr">
        <is>
          <t>X</t>
        </is>
      </c>
      <c r="H12" s="11" t="inlineStr">
        <is>
          <t>X</t>
        </is>
      </c>
      <c r="I12" s="11" t="inlineStr">
        <is>
          <t>-</t>
        </is>
      </c>
      <c r="J12" s="11" t="inlineStr">
        <is>
          <t>X</t>
        </is>
      </c>
      <c r="K12" s="11" t="inlineStr">
        <is>
          <t>X</t>
        </is>
      </c>
      <c r="L12" s="11" t="inlineStr">
        <is>
          <t>X</t>
        </is>
      </c>
      <c r="M12" s="11" t="inlineStr">
        <is>
          <t>X</t>
        </is>
      </c>
      <c r="N12" s="11" t="inlineStr">
        <is>
          <t>X</t>
        </is>
      </c>
      <c r="O12" s="11" t="inlineStr">
        <is>
          <t>-</t>
        </is>
      </c>
      <c r="P12" s="11" t="inlineStr">
        <is>
          <t>X</t>
        </is>
      </c>
      <c r="Q12" s="11" t="inlineStr">
        <is>
          <t>X</t>
        </is>
      </c>
      <c r="R12" s="11" t="inlineStr">
        <is>
          <t>X</t>
        </is>
      </c>
      <c r="S12" s="11" t="inlineStr">
        <is>
          <t>X</t>
        </is>
      </c>
      <c r="T12" s="11" t="inlineStr">
        <is>
          <t>-</t>
        </is>
      </c>
      <c r="U12" s="10" t="inlineStr">
        <is>
          <t>Fullført</t>
        </is>
      </c>
      <c r="V12" s="12" t="inlineStr">
        <is>
          <t>Endringslogg og firmaeierskap</t>
        </is>
      </c>
    </row>
    <row r="13">
      <c r="A13" s="7" t="inlineStr">
        <is>
          <t>K05</t>
        </is>
      </c>
      <c r="B13" s="8" t="inlineStr">
        <is>
          <t>Tertialvis avviksanalyse (Budsjett vs Regnskap)</t>
        </is>
      </c>
      <c r="C13" s="8" t="inlineStr">
        <is>
          <t>UH-instruksen § 4.3</t>
        </is>
      </c>
      <c r="D13" s="7" t="inlineStr">
        <is>
          <t>Tertialvis</t>
        </is>
      </c>
      <c r="E13" s="7" t="inlineStr">
        <is>
          <t>Controller/BAO</t>
        </is>
      </c>
      <c r="F13" s="7" t="inlineStr">
        <is>
          <t>-</t>
        </is>
      </c>
      <c r="G13" s="7" t="inlineStr">
        <is>
          <t>-</t>
        </is>
      </c>
      <c r="H13" s="9" t="inlineStr">
        <is>
          <t>R1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9" t="inlineStr">
        <is>
          <t>R2</t>
        </is>
      </c>
      <c r="O13" s="7" t="inlineStr">
        <is>
          <t>-</t>
        </is>
      </c>
      <c r="P13" s="7" t="inlineStr">
        <is>
          <t>-</t>
        </is>
      </c>
      <c r="Q13" s="7" t="inlineStr">
        <is>
          <t>-</t>
        </is>
      </c>
      <c r="R13" s="7" t="inlineStr">
        <is>
          <t>-</t>
        </is>
      </c>
      <c r="S13" s="9" t="inlineStr">
        <is>
          <t>R3</t>
        </is>
      </c>
      <c r="T13" s="7" t="inlineStr">
        <is>
          <t>-</t>
        </is>
      </c>
      <c r="U13" s="10" t="inlineStr">
        <is>
          <t>Pågår</t>
        </is>
      </c>
      <c r="V13" s="8" t="inlineStr">
        <is>
          <t>Tertialrapport til dekan/ledelse</t>
        </is>
      </c>
    </row>
    <row r="14">
      <c r="A14" s="11" t="inlineStr">
        <is>
          <t>K06</t>
        </is>
      </c>
      <c r="B14" s="12" t="inlineStr">
        <is>
          <t>BOA-prosjektgjennomgang &amp; Tapsavsetning (kto 786)</t>
        </is>
      </c>
      <c r="C14" s="12" t="inlineStr">
        <is>
          <t>SRS 9 / SRS 10 / SRS 19</t>
        </is>
      </c>
      <c r="D14" s="11" t="inlineStr">
        <is>
          <t>Tertialvis</t>
        </is>
      </c>
      <c r="E14" s="11" t="inlineStr">
        <is>
          <t>Controller/PL</t>
        </is>
      </c>
      <c r="F14" s="11" t="inlineStr">
        <is>
          <t>-</t>
        </is>
      </c>
      <c r="G14" s="11" t="inlineStr">
        <is>
          <t>-</t>
        </is>
      </c>
      <c r="H14" s="9" t="inlineStr">
        <is>
          <t>R1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9" t="inlineStr">
        <is>
          <t>R2</t>
        </is>
      </c>
      <c r="O14" s="11" t="inlineStr">
        <is>
          <t>-</t>
        </is>
      </c>
      <c r="P14" s="11" t="inlineStr">
        <is>
          <t>-</t>
        </is>
      </c>
      <c r="Q14" s="11" t="inlineStr">
        <is>
          <t>-</t>
        </is>
      </c>
      <c r="R14" s="11" t="inlineStr">
        <is>
          <t>-</t>
        </is>
      </c>
      <c r="S14" s="9" t="inlineStr">
        <is>
          <t>R3</t>
        </is>
      </c>
      <c r="T14" s="11" t="inlineStr">
        <is>
          <t>-</t>
        </is>
      </c>
      <c r="U14" s="10" t="inlineStr">
        <is>
          <t>Pågår</t>
        </is>
      </c>
      <c r="V14" s="12" t="inlineStr">
        <is>
          <t>Gjennomgang av framdriftsgrad og underskudd</t>
        </is>
      </c>
    </row>
    <row r="15">
      <c r="A15" s="7" t="inlineStr">
        <is>
          <t>K07</t>
        </is>
      </c>
      <c r="B15" s="8" t="inlineStr">
        <is>
          <t>Kontroll av videreformidling i EU-prosjekter (kto 250)</t>
        </is>
      </c>
      <c r="C15" s="8" t="inlineStr">
        <is>
          <t>SRS 10 pkt. 23</t>
        </is>
      </c>
      <c r="D15" s="7" t="inlineStr">
        <is>
          <t>Løpende/T-vis</t>
        </is>
      </c>
      <c r="E15" s="7" t="inlineStr">
        <is>
          <t>Controller/PL</t>
        </is>
      </c>
      <c r="F15" s="7" t="inlineStr">
        <is>
          <t>-</t>
        </is>
      </c>
      <c r="G15" s="7" t="inlineStr">
        <is>
          <t>-</t>
        </is>
      </c>
      <c r="H15" s="9" t="inlineStr">
        <is>
          <t>R1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9" t="inlineStr">
        <is>
          <t>R2</t>
        </is>
      </c>
      <c r="O15" s="7" t="inlineStr">
        <is>
          <t>-</t>
        </is>
      </c>
      <c r="P15" s="7" t="inlineStr">
        <is>
          <t>-</t>
        </is>
      </c>
      <c r="Q15" s="7" t="inlineStr">
        <is>
          <t>-</t>
        </is>
      </c>
      <c r="R15" s="7" t="inlineStr">
        <is>
          <t>-</t>
        </is>
      </c>
      <c r="S15" s="9" t="inlineStr">
        <is>
          <t>R3</t>
        </is>
      </c>
      <c r="T15" s="7" t="inlineStr">
        <is>
          <t>-</t>
        </is>
      </c>
      <c r="U15" s="10" t="inlineStr">
        <is>
          <t>Fullført</t>
        </is>
      </c>
      <c r="V15" s="8" t="inlineStr">
        <is>
          <t>Partneroverføringer via balansen</t>
        </is>
      </c>
    </row>
    <row r="16">
      <c r="A16" s="11" t="inlineStr">
        <is>
          <t>K08</t>
        </is>
      </c>
      <c r="B16" s="12" t="inlineStr">
        <is>
          <t>Revisjon av BDM-delegeringer og fullmaktsmatrise</t>
        </is>
      </c>
      <c r="C16" s="12" t="inlineStr">
        <is>
          <t>Interne Hovedregler § 1.2</t>
        </is>
      </c>
      <c r="D16" s="11" t="inlineStr">
        <is>
          <t>Årlig</t>
        </is>
      </c>
      <c r="E16" s="11" t="inlineStr">
        <is>
          <t>Dekan/Direktør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  <c r="O16" s="11" t="inlineStr">
        <is>
          <t>-</t>
        </is>
      </c>
      <c r="P16" s="11" t="inlineStr">
        <is>
          <t>-</t>
        </is>
      </c>
      <c r="Q16" s="11" t="inlineStr">
        <is>
          <t>-</t>
        </is>
      </c>
      <c r="R16" s="11" t="inlineStr">
        <is>
          <t>-</t>
        </is>
      </c>
      <c r="S16" s="9" t="inlineStr">
        <is>
          <t>ÅR</t>
        </is>
      </c>
      <c r="T16" s="11" t="inlineStr">
        <is>
          <t>-</t>
        </is>
      </c>
      <c r="U16" s="10" t="inlineStr">
        <is>
          <t>Ikke startet</t>
        </is>
      </c>
      <c r="V16" s="12" t="inlineStr">
        <is>
          <t>Årlig oppdatering av fullmakter</t>
        </is>
      </c>
    </row>
    <row r="17">
      <c r="A17" s="7" t="inlineStr">
        <is>
          <t>K09</t>
        </is>
      </c>
      <c r="B17" s="8" t="inlineStr">
        <is>
          <t>Risikovurdering (S x K) og oppdatering av risikomatrise</t>
        </is>
      </c>
      <c r="C17" s="8" t="inlineStr">
        <is>
          <t>Bestemmelsene § 2.4 b</t>
        </is>
      </c>
      <c r="D17" s="7" t="inlineStr">
        <is>
          <t>Årlig/Half-year</t>
        </is>
      </c>
      <c r="E17" s="7" t="inlineStr">
        <is>
          <t>BAO-leder/Controller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9" t="inlineStr">
        <is>
          <t>R1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  <c r="O17" s="7" t="inlineStr">
        <is>
          <t>-</t>
        </is>
      </c>
      <c r="P17" s="7" t="inlineStr">
        <is>
          <t>-</t>
        </is>
      </c>
      <c r="Q17" s="7" t="inlineStr">
        <is>
          <t>-</t>
        </is>
      </c>
      <c r="R17" s="7" t="inlineStr">
        <is>
          <t>-</t>
        </is>
      </c>
      <c r="S17" s="9" t="inlineStr">
        <is>
          <t>ÅR</t>
        </is>
      </c>
      <c r="T17" s="7" t="inlineStr">
        <is>
          <t>-</t>
        </is>
      </c>
      <c r="U17" s="10" t="inlineStr">
        <is>
          <t>Fullført</t>
        </is>
      </c>
      <c r="V17" s="8" t="inlineStr">
        <is>
          <t>Oppdatert risikomatrise i kildebase</t>
        </is>
      </c>
    </row>
    <row r="18">
      <c r="A18" s="11" t="inlineStr">
        <is>
          <t>K10</t>
        </is>
      </c>
      <c r="B18" s="12" t="inlineStr">
        <is>
          <t>Gjennomgang av egenattestasjonssperre og reiser</t>
        </is>
      </c>
      <c r="C18" s="12" t="inlineStr">
        <is>
          <t>Bestemmelsene § 2.5.2.1</t>
        </is>
      </c>
      <c r="D18" s="11" t="inlineStr">
        <is>
          <t>Månedlig</t>
        </is>
      </c>
      <c r="E18" s="11" t="inlineStr">
        <is>
          <t>Controller</t>
        </is>
      </c>
      <c r="F18" s="11" t="inlineStr">
        <is>
          <t>X</t>
        </is>
      </c>
      <c r="G18" s="11" t="inlineStr">
        <is>
          <t>X</t>
        </is>
      </c>
      <c r="H18" s="11" t="inlineStr">
        <is>
          <t>X</t>
        </is>
      </c>
      <c r="I18" s="11" t="inlineStr">
        <is>
          <t>-</t>
        </is>
      </c>
      <c r="J18" s="11" t="inlineStr">
        <is>
          <t>X</t>
        </is>
      </c>
      <c r="K18" s="11" t="inlineStr">
        <is>
          <t>X</t>
        </is>
      </c>
      <c r="L18" s="11" t="inlineStr">
        <is>
          <t>X</t>
        </is>
      </c>
      <c r="M18" s="11" t="inlineStr">
        <is>
          <t>X</t>
        </is>
      </c>
      <c r="N18" s="11" t="inlineStr">
        <is>
          <t>X</t>
        </is>
      </c>
      <c r="O18" s="11" t="inlineStr">
        <is>
          <t>-</t>
        </is>
      </c>
      <c r="P18" s="11" t="inlineStr">
        <is>
          <t>X</t>
        </is>
      </c>
      <c r="Q18" s="11" t="inlineStr">
        <is>
          <t>X</t>
        </is>
      </c>
      <c r="R18" s="11" t="inlineStr">
        <is>
          <t>X</t>
        </is>
      </c>
      <c r="S18" s="11" t="inlineStr">
        <is>
          <t>X</t>
        </is>
      </c>
      <c r="T18" s="11" t="inlineStr">
        <is>
          <t>-</t>
        </is>
      </c>
      <c r="U18" s="10" t="inlineStr">
        <is>
          <t>Fullført</t>
        </is>
      </c>
      <c r="V18" s="12" t="inlineStr">
        <is>
          <t>Ingen egenattestasjoner avdekket</t>
        </is>
      </c>
    </row>
    <row r="19">
      <c r="A19" s="7" t="inlineStr">
        <is>
          <t>K11</t>
        </is>
      </c>
      <c r="B19" s="8" t="inlineStr">
        <is>
          <t>Rapportering av internkontroll i Årsrapport Del IV</t>
        </is>
      </c>
      <c r="C19" s="8" t="inlineStr">
        <is>
          <t>Krav til årsrapport del IV</t>
        </is>
      </c>
      <c r="D19" s="7" t="inlineStr">
        <is>
          <t>Årlig</t>
        </is>
      </c>
      <c r="E19" s="7" t="inlineStr">
        <is>
          <t>Universitetsdirektør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7" t="inlineStr">
        <is>
          <t>-</t>
        </is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  <c r="O19" s="7" t="inlineStr">
        <is>
          <t>-</t>
        </is>
      </c>
      <c r="P19" s="7" t="inlineStr">
        <is>
          <t>-</t>
        </is>
      </c>
      <c r="Q19" s="7" t="inlineStr">
        <is>
          <t>-</t>
        </is>
      </c>
      <c r="R19" s="7" t="inlineStr">
        <is>
          <t>-</t>
        </is>
      </c>
      <c r="S19" s="9" t="inlineStr">
        <is>
          <t>ÅR</t>
        </is>
      </c>
      <c r="T19" s="7" t="inlineStr">
        <is>
          <t>-</t>
        </is>
      </c>
      <c r="U19" s="10" t="inlineStr">
        <is>
          <t>Ikke startet</t>
        </is>
      </c>
      <c r="V19" s="8" t="inlineStr">
        <is>
          <t>Styrets vurdering av internkontroll</t>
        </is>
      </c>
    </row>
    <row r="20">
      <c r="A20" s="11" t="inlineStr">
        <is>
          <t>K12</t>
        </is>
      </c>
      <c r="B20" s="12" t="inlineStr">
        <is>
          <t>Oppfølging av Riksrevisjonens merknader og CFS</t>
        </is>
      </c>
      <c r="C20" s="12" t="inlineStr">
        <is>
          <t>Bestemmelsene § 1.6.1</t>
        </is>
      </c>
      <c r="D20" s="11" t="inlineStr">
        <is>
          <t>Løpende/Årlig</t>
        </is>
      </c>
      <c r="E20" s="11" t="inlineStr">
        <is>
          <t>Økonomidirektør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  <c r="O20" s="11" t="inlineStr">
        <is>
          <t>-</t>
        </is>
      </c>
      <c r="P20" s="11" t="inlineStr">
        <is>
          <t>-</t>
        </is>
      </c>
      <c r="Q20" s="11" t="inlineStr">
        <is>
          <t>-</t>
        </is>
      </c>
      <c r="R20" s="11" t="inlineStr">
        <is>
          <t>-</t>
        </is>
      </c>
      <c r="S20" s="9" t="inlineStr">
        <is>
          <t>ÅR</t>
        </is>
      </c>
      <c r="T20" s="11" t="inlineStr">
        <is>
          <t>-</t>
        </is>
      </c>
      <c r="U20" s="10" t="inlineStr">
        <is>
          <t>Pågår</t>
        </is>
      </c>
      <c r="V20" s="12" t="inlineStr">
        <is>
          <t>Oppfølgingsnotat til departementet</t>
        </is>
      </c>
    </row>
  </sheetData>
  <dataValidations count="1">
    <dataValidation sqref="U9 U10 U11 U12 U13 U14 U15 U16 U17 U18 U19 U20" showDropDown="0" showInputMessage="0" showErrorMessage="0" allowBlank="1" type="list">
      <formula1>"Fullført,Pågår,Ikke startet,Avvik"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2026-10-05T17:52:35Z</dcterms:created>
  <dcterms:modified xmlns:dcterms="http://purl.org/dc/terms/" xmlns:xsi="http://www.w3.org/2001/XMLSchema-instance" xsi:type="dcterms:W3CDTF">2026-10-05T17:52:35Z</dcterms:modified>
</cp:coreProperties>
</file>