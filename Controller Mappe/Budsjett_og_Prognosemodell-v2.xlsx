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Årsprognose og Avv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kr #,##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3" borderId="0" pivotButton="0" quotePrefix="0" xfId="0"/>
    <xf numFmtId="164" fontId="5" fillId="4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7" customWidth="1" min="3" max="3"/>
    <col width="18" customWidth="1" min="4" max="4"/>
    <col width="24" customWidth="1" min="5" max="5"/>
    <col width="21" customWidth="1" min="6" max="6"/>
    <col width="80" customWidth="1" min="7" max="7"/>
  </cols>
  <sheetData>
    <row r="1">
      <c r="A1" s="1" t="inlineStr">
        <is>
          <t>PERIODISERT BUDSJETTOPPFØLGING OG ÅRSPROGNOSE</t>
        </is>
      </c>
    </row>
    <row r="2">
      <c r="A2" s="2" t="inlineStr">
        <is>
          <t>Aktivitetsår 2026 | Fastsatte formler for automatisk avviksanalyse</t>
        </is>
      </c>
    </row>
    <row r="3"/>
    <row r="4">
      <c r="A4" s="3" t="inlineStr">
        <is>
          <t>Artsklasse / Kostnadstype</t>
        </is>
      </c>
      <c r="B4" s="3" t="inlineStr">
        <is>
          <t>Godkjent Årsbudsjett</t>
        </is>
      </c>
      <c r="C4" s="3" t="inlineStr">
        <is>
          <t>Regnskap M1-M8</t>
        </is>
      </c>
      <c r="D4" s="3" t="inlineStr">
        <is>
          <t>Prognose M9-M12</t>
        </is>
      </c>
      <c r="E4" s="3" t="inlineStr">
        <is>
          <t>Forventet Årsresultat</t>
        </is>
      </c>
      <c r="F4" s="3" t="inlineStr">
        <is>
          <t>Budsjettavvik (kr)</t>
        </is>
      </c>
      <c r="G4" s="3" t="inlineStr">
        <is>
          <t>Status / Vurdering</t>
        </is>
      </c>
    </row>
    <row r="5">
      <c r="A5" s="4" t="inlineStr">
        <is>
          <t>50-51 Fast og midlertidig lønn</t>
        </is>
      </c>
      <c r="B5" s="5" t="n">
        <v>2400000</v>
      </c>
      <c r="C5" s="5" t="n">
        <v>1600000</v>
      </c>
      <c r="D5" s="5" t="n">
        <v>800000</v>
      </c>
      <c r="E5" s="6">
        <f>C5+D5</f>
        <v/>
      </c>
      <c r="F5" s="6">
        <f>E5-B5</f>
        <v/>
      </c>
      <c r="G5" s="7">
        <f>IF(F5&gt;50000, "🔴 Merforbruk", IF(F5&lt;-50000, "🟢 Mindreforbruk", "🟡 I rute"))</f>
        <v/>
      </c>
    </row>
    <row r="6">
      <c r="A6" s="4" t="inlineStr">
        <is>
          <t>54 Arbeidsgiveravgift &amp; pensjon</t>
        </is>
      </c>
      <c r="B6" s="5" t="n">
        <v>820000</v>
      </c>
      <c r="C6" s="5" t="n">
        <v>545000</v>
      </c>
      <c r="D6" s="5" t="n">
        <v>275000</v>
      </c>
      <c r="E6" s="6">
        <f>C6+D6</f>
        <v/>
      </c>
      <c r="F6" s="6">
        <f>E6-B6</f>
        <v/>
      </c>
      <c r="G6" s="7">
        <f>IF(F6&gt;50000, "🔴 Merforbruk", IF(F6&lt;-50000, "🟢 Mindreforbruk", "🟡 I rute"))</f>
        <v/>
      </c>
    </row>
    <row r="7">
      <c r="A7" s="4" t="inlineStr">
        <is>
          <t>60 Avskrivning utstyr/lab</t>
        </is>
      </c>
      <c r="B7" s="5" t="n">
        <v>150000</v>
      </c>
      <c r="C7" s="5" t="n">
        <v>100000</v>
      </c>
      <c r="D7" s="5" t="n">
        <v>50000</v>
      </c>
      <c r="E7" s="6">
        <f>C7+D7</f>
        <v/>
      </c>
      <c r="F7" s="6">
        <f>E7-B7</f>
        <v/>
      </c>
      <c r="G7" s="7">
        <f>IF(F7&gt;50000, "🔴 Merforbruk", IF(F7&lt;-50000, "🟢 Mindreforbruk", "🟡 I rute"))</f>
        <v/>
      </c>
    </row>
    <row r="8">
      <c r="A8" s="4" t="inlineStr">
        <is>
          <t>67 Kjøp av fremmede tjenester</t>
        </is>
      </c>
      <c r="B8" s="5" t="n">
        <v>450000</v>
      </c>
      <c r="C8" s="5" t="n">
        <v>380000</v>
      </c>
      <c r="D8" s="5" t="n">
        <v>120000</v>
      </c>
      <c r="E8" s="6">
        <f>C8+D8</f>
        <v/>
      </c>
      <c r="F8" s="6">
        <f>E8-B8</f>
        <v/>
      </c>
      <c r="G8" s="7">
        <f>IF(F8&gt;50000, "🔴 Merforbruk", IF(F8&lt;-50000, "🟢 Mindreforbruk", "🟡 I rute"))</f>
        <v/>
      </c>
    </row>
    <row r="9">
      <c r="A9" s="4" t="inlineStr">
        <is>
          <t>71 Reiseutgifter og diett</t>
        </is>
      </c>
      <c r="B9" s="5" t="n">
        <v>280000</v>
      </c>
      <c r="C9" s="5" t="n">
        <v>190000</v>
      </c>
      <c r="D9" s="5" t="n">
        <v>110000</v>
      </c>
      <c r="E9" s="6">
        <f>C9+D9</f>
        <v/>
      </c>
      <c r="F9" s="6">
        <f>E9-B9</f>
        <v/>
      </c>
      <c r="G9" s="7">
        <f>IF(F9&gt;50000, "🔴 Merforbruk", IF(F9&lt;-50000, "🟢 Mindreforbruk", "🟡 I rute"))</f>
        <v/>
      </c>
    </row>
    <row r="10">
      <c r="A10" s="4" t="inlineStr">
        <is>
          <t>78 TDI Overhead / Fellesutgifter</t>
        </is>
      </c>
      <c r="B10" s="5" t="n">
        <v>650000</v>
      </c>
      <c r="C10" s="5" t="n">
        <v>430000</v>
      </c>
      <c r="D10" s="5" t="n">
        <v>220000</v>
      </c>
      <c r="E10" s="6">
        <f>C10+D10</f>
        <v/>
      </c>
      <c r="F10" s="6">
        <f>E10-B10</f>
        <v/>
      </c>
      <c r="G10" s="7">
        <f>IF(F10&gt;50000, "🔴 Merforbruk", IF(F10&lt;-50000, "🟢 Mindreforbruk", "🟡 I rute"))</f>
        <v/>
      </c>
    </row>
    <row r="11">
      <c r="A11" s="8" t="inlineStr">
        <is>
          <t>SUM TOTALE DRIFTSKOSTNADER:</t>
        </is>
      </c>
      <c r="B11" s="9">
        <f>SUM(B5:B10)</f>
        <v/>
      </c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2026-10-05T17:42:11Z</dcterms:created>
  <dcterms:modified xmlns:dcterms="http://purl.org/dc/terms/" xmlns:xsi="http://www.w3.org/2001/XMLSchema-instance" xsi:type="dcterms:W3CDTF">2026-10-05T17:42:11Z</dcterms:modified>
</cp:coreProperties>
</file>