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endrag" sheetId="1" state="visible" r:id="rId1"/>
    <sheet xmlns:r="http://schemas.openxmlformats.org/officeDocument/2006/relationships" name="Kontrollmatrise" sheetId="2" state="visible" r:id="rId2"/>
    <sheet xmlns:r="http://schemas.openxmlformats.org/officeDocument/2006/relationships" name="Tiltaksoppfølging" sheetId="3" state="visible" r:id="rId3"/>
    <sheet xmlns:r="http://schemas.openxmlformats.org/officeDocument/2006/relationships" name="Les meg" sheetId="4" state="visible" r:id="rId4"/>
  </sheets>
  <definedNames>
    <definedName name="_xlnm._FilterDatabase" localSheetId="0" hidden="1">'Sammendrag'!$A$21:$D$35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17365D"/>
    </font>
    <font>
      <b val="1"/>
    </font>
    <font>
      <color rgb="000000FF"/>
    </font>
    <font>
      <color rgb="00000000"/>
    </font>
    <font>
      <color rgb="00666666"/>
    </font>
    <font>
      <b val="1"/>
      <color rgb="001F4E78"/>
    </font>
    <font>
      <b val="1"/>
      <color rgb="00FFFFFF"/>
      <sz val="20"/>
    </font>
    <font>
      <i val="1"/>
      <color rgb="00666666"/>
    </font>
    <font>
      <b val="1"/>
      <color rgb="00FFFFFF"/>
      <sz val="18"/>
    </font>
    <font>
      <b val="1"/>
      <color rgb="001F1F1F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7030A0"/>
      </patternFill>
    </fill>
    <fill>
      <patternFill patternType="solid">
        <fgColor rgb="007F7F7F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applyAlignment="1" pivotButton="0" quotePrefix="0" xfId="0">
      <alignment vertical="top"/>
    </xf>
    <xf numFmtId="0" fontId="4" fillId="0" borderId="0" pivotButton="0" quotePrefix="0" xfId="0"/>
    <xf numFmtId="0" fontId="1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0" applyAlignment="1" pivotButton="0" quotePrefix="0" xfId="0">
      <alignment vertical="center"/>
    </xf>
    <xf numFmtId="0" fontId="1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1" fillId="3" borderId="0" pivotButton="0" quotePrefix="0" xfId="0"/>
    <xf numFmtId="0" fontId="12" fillId="11" borderId="0" pivotButton="0" quotePrefix="0" xfId="0"/>
    <xf numFmtId="0" fontId="12" fillId="12" borderId="0" pivotButton="0" quotePrefix="0" xfId="0"/>
    <xf numFmtId="0" fontId="12" fillId="13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E2F0D9"/>
        </patternFill>
      </fill>
    </dxf>
    <dxf>
      <font>
        <b val="1"/>
        <color rgb="001F1F1F"/>
      </font>
      <fill>
        <patternFill patternType="solid">
          <fgColor rgb="0063BE7B"/>
        </patternFill>
      </fill>
    </dxf>
    <dxf>
      <font>
        <b val="1"/>
        <color rgb="001F1F1F"/>
      </font>
      <fill>
        <patternFill patternType="solid">
          <fgColor rgb="00FFEB84"/>
        </patternFill>
      </fill>
    </dxf>
    <dxf>
      <font>
        <b val="1"/>
        <color rgb="00FFFFFF"/>
      </font>
      <fill>
        <patternFill patternType="solid">
          <f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Fordeling kontrollstatus</a:t>
            </a:r>
          </a:p>
        </rich>
      </tx>
    </title>
    <plotArea>
      <doughnutChart>
        <varyColors val="1"/>
        <ser>
          <idx val="0"/>
          <order val="0"/>
          <tx>
            <strRef>
              <f>'Sammendrag'!B12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'Sammendrag'!$A$13:$A$17</f>
            </numRef>
          </cat>
          <val>
            <numRef>
              <f>'Sammendrag'!$B$13:$B$17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Tiltaksstatus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'Sammendrag'!F12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'Sammendrag'!$E$13:$E$17</f>
            </numRef>
          </cat>
          <val>
            <numRef>
              <f>'Sammendrag'!$F$13:$F$17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Antall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Copilot</author>
  </authors>
  <commentList>
    <comment ref="N2" authorId="0" shapeId="0">
      <text>
        <t>Kilde for kontrollpunkt/styringsgrunnlag. Suppler med konkret lov/forskrift/rundskriv der kontrollen krever det.</t>
      </text>
    </comment>
    <comment ref="N3" authorId="0" shapeId="0">
      <text>
        <t>Kilde for kontrollpunkt/styringsgrunnlag. Suppler med konkret lov/forskrift/rundskriv der kontrollen krever det.</t>
      </text>
    </comment>
    <comment ref="N4" authorId="0" shapeId="0">
      <text>
        <t>Kilde for kontrollpunkt/styringsgrunnlag. Suppler med konkret lov/forskrift/rundskriv der kontrollen krever det.</t>
      </text>
    </comment>
    <comment ref="N5" authorId="0" shapeId="0">
      <text>
        <t>Kilde for kontrollpunkt/styringsgrunnlag. Suppler med konkret lov/forskrift/rundskriv der kontrollen krever det.</t>
      </text>
    </comment>
    <comment ref="N6" authorId="0" shapeId="0">
      <text>
        <t>Kilde for kontrollpunkt/styringsgrunnlag. Suppler med konkret lov/forskrift/rundskriv der kontrollen krever det.</t>
      </text>
    </comment>
    <comment ref="N7" authorId="0" shapeId="0">
      <text>
        <t>Kilde for kontrollpunkt/styringsgrunnlag. Suppler med konkret lov/forskrift/rundskriv der kontrollen krever det.</t>
      </text>
    </comment>
    <comment ref="N8" authorId="0" shapeId="0">
      <text>
        <t>Kilde for kontrollpunkt/styringsgrunnlag. Suppler med konkret lov/forskrift/rundskriv der kontrollen krever det.</t>
      </text>
    </comment>
    <comment ref="N9" authorId="0" shapeId="0">
      <text>
        <t>Kilde for kontrollpunkt/styringsgrunnlag. Suppler med konkret lov/forskrift/rundskriv der kontrollen krever det.</t>
      </text>
    </comment>
    <comment ref="N10" authorId="0" shapeId="0">
      <text>
        <t>Kilde for kontrollpunkt/styringsgrunnlag. Suppler med konkret lov/forskrift/rundskriv der kontrollen krever det.</t>
      </text>
    </comment>
    <comment ref="N11" authorId="0" shapeId="0">
      <text>
        <t>Kilde for kontrollpunkt/styringsgrunnlag. Suppler med konkret lov/forskrift/rundskriv der kontrollen krever det.</t>
      </text>
    </comment>
    <comment ref="N12" authorId="0" shapeId="0">
      <text>
        <t>Kilde for kontrollpunkt/styringsgrunnlag. Suppler med konkret lov/forskrift/rundskriv der kontrollen krever det.</t>
      </text>
    </comment>
    <comment ref="N13" authorId="0" shapeId="0">
      <text>
        <t>Kilde for kontrollpunkt/styringsgrunnlag. Suppler med konkret lov/forskrift/rundskriv der kontrollen krever det.</t>
      </text>
    </comment>
    <comment ref="N14" authorId="0" shapeId="0">
      <text>
        <t>Kilde for kontrollpunkt/styringsgrunnlag. Suppler med konkret lov/forskrift/rundskriv der kontrollen krever det.</t>
      </text>
    </comment>
    <comment ref="N15" authorId="0" shapeId="0">
      <text>
        <t>Kilde for kontrollpunkt/styringsgrunnlag. Suppler med konkret lov/forskrift/rundskriv der kontrollen krever det.</t>
      </text>
    </comment>
    <comment ref="N16" authorId="0" shapeId="0">
      <text>
        <t>Kilde for kontrollpunkt/styringsgrunnlag. Suppler med konkret lov/forskrift/rundskriv der kontrollen krever det.</t>
      </text>
    </comment>
    <comment ref="N17" authorId="0" shapeId="0">
      <text>
        <t>Kilde for kontrollpunkt/styringsgrunnlag. Suppler med konkret lov/forskrift/rundskriv der kontrollen krever det.</t>
      </text>
    </comment>
    <comment ref="N18" authorId="0" shapeId="0">
      <text>
        <t>Kilde for kontrollpunkt/styringsgrunnlag. Suppler med konkret lov/forskrift/rundskriv der kontrollen krever det.</t>
      </text>
    </comment>
    <comment ref="N19" authorId="0" shapeId="0">
      <text>
        <t>Kilde for kontrollpunkt/styringsgrunnlag. Suppler med konkret lov/forskrift/rundskriv der kontrollen krever det.</t>
      </text>
    </comment>
    <comment ref="N20" authorId="0" shapeId="0">
      <text>
        <t>Kilde for kontrollpunkt/styringsgrunnlag. Suppler med konkret lov/forskrift/rundskriv der kontrollen krever det.</t>
      </text>
    </comment>
    <comment ref="N21" authorId="0" shapeId="0">
      <text>
        <t>Kilde for kontrollpunkt/styringsgrunnlag. Suppler med konkret lov/forskrift/rundskriv der kontrollen krever det.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20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ontrollmatrise" displayName="tblKontrollmatrise" ref="A1:P21" headerRowCount="1">
  <autoFilter ref="A1:P21"/>
  <tableColumns count="16">
    <tableColumn id="1" name="KRAV_ID"/>
    <tableColumn id="2" name="Prosess"/>
    <tableColumn id="3" name="Risikoområde"/>
    <tableColumn id="4" name="Regelverk / styringsgrunnlag"/>
    <tableColumn id="5" name="Henvisning"/>
    <tableColumn id="6" name="Kontrollpunkt"/>
    <tableColumn id="7" name="Kontrollaktivitet / test"/>
    <tableColumn id="8" name="Ansvarlig rolle"/>
    <tableColumn id="9" name="Dokumentasjon / evidens"/>
    <tableColumn id="10" name="Frekvens"/>
    <tableColumn id="11" name="System / kilde"/>
    <tableColumn id="12" name="Status"/>
    <tableColumn id="13" name="Merknad"/>
    <tableColumn id="14" name="Kilde-URL"/>
    <tableColumn id="15" name="Frist"/>
    <tableColumn id="16" name="Tiltakseie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Tiltaksoppfolging" displayName="tblTiltaksoppfolging" ref="A1:M21" headerRowCount="1">
  <autoFilter ref="A1:M21"/>
  <tableColumns count="13">
    <tableColumn id="1" name="Tiltak_ID"/>
    <tableColumn id="2" name="KRAV_ID"/>
    <tableColumn id="3" name="Kontrollstatus"/>
    <tableColumn id="4" name="Prosess"/>
    <tableColumn id="5" name="Kontrollpunkt / avvik"/>
    <tableColumn id="6" name="Tiltak"/>
    <tableColumn id="7" name="Tiltakseier"/>
    <tableColumn id="8" name="Frist"/>
    <tableColumn id="9" name="Prioritet"/>
    <tableColumn id="10" name="Tiltaksstatus"/>
    <tableColumn id="11" name="Sist oppdatert"/>
    <tableColumn id="12" name="Oppfølging / kommentar"/>
    <tableColumn id="13" name="Dokumentasjon / len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4" customWidth="1" min="4" max="4"/>
    <col width="22" customWidth="1" min="5" max="5"/>
    <col width="14" customWidth="1" min="6" max="6"/>
    <col width="24" customWidth="1" min="7" max="7"/>
    <col width="14" customWidth="1" min="8" max="8"/>
    <col width="13" customWidth="1" min="13" max="13"/>
    <col width="43" customWidth="1" min="14" max="14"/>
  </cols>
  <sheetData>
    <row r="1">
      <c r="A1" s="14" t="inlineStr">
        <is>
          <t>Sammendrag – UiA økonomi og internkontroll</t>
        </is>
      </c>
    </row>
    <row r="2">
      <c r="M2" s="36" t="inlineStr">
        <is>
          <t>Trafikklys</t>
        </is>
      </c>
    </row>
    <row r="3">
      <c r="A3" s="15" t="inlineStr">
        <is>
          <t>Nøkkeltall oppdateres automatisk fra Kontrollmatrise og Tiltaksoppfølging.</t>
        </is>
      </c>
      <c r="M3" s="37" t="inlineStr">
        <is>
          <t>Grønn</t>
        </is>
      </c>
      <c r="N3" t="inlineStr">
        <is>
          <t>Ingen avvik/forfalte, eller &gt;=90 % OK</t>
        </is>
      </c>
    </row>
    <row r="4">
      <c r="M4" s="38" t="inlineStr">
        <is>
          <t>Gul</t>
        </is>
      </c>
      <c r="N4" t="inlineStr">
        <is>
          <t>1-2 avvik/forfalte, eller 70-89,9 % OK</t>
        </is>
      </c>
    </row>
    <row r="5" ht="34" customHeight="1">
      <c r="A5" s="16" t="inlineStr">
        <is>
          <t>Totalt kontrollpunkter</t>
        </is>
      </c>
      <c r="B5" s="17">
        <f>COUNTA(Kontrollmatrise!A2:A1000)</f>
        <v/>
      </c>
      <c r="D5" s="18" t="inlineStr">
        <is>
          <t>Kontroller OK</t>
        </is>
      </c>
      <c r="E5" s="19">
        <f>COUNTIF(Kontrollmatrise!L2:L1000,"OK")</f>
        <v/>
      </c>
      <c r="G5" s="20" t="inlineStr">
        <is>
          <t>Kontroller med avvik</t>
        </is>
      </c>
      <c r="H5" s="21">
        <f>COUNTIF(Kontrollmatrise!L2:L1000,"Avvik")</f>
        <v/>
      </c>
      <c r="M5" s="39" t="inlineStr">
        <is>
          <t>Rød</t>
        </is>
      </c>
      <c r="N5" t="inlineStr">
        <is>
          <t>3+ avvik/forfalte, eller &lt;70 % OK</t>
        </is>
      </c>
    </row>
    <row r="6"/>
    <row r="7"/>
    <row r="8" ht="34" customHeight="1">
      <c r="A8" s="22" t="inlineStr">
        <is>
          <t>Tiltak pågår</t>
        </is>
      </c>
      <c r="B8" s="23">
        <f>COUNTIF(Kontrollmatrise!L2:L1000,"Tiltak pågår")</f>
        <v/>
      </c>
      <c r="D8" s="24" t="inlineStr">
        <is>
          <t>Ikke vurdert</t>
        </is>
      </c>
      <c r="E8" s="25">
        <f>COUNTIF(Kontrollmatrise!L2:L1000,"Ikke vurdert")</f>
        <v/>
      </c>
      <c r="G8" s="26" t="inlineStr">
        <is>
          <t>Forfalte åpne tiltak</t>
        </is>
      </c>
      <c r="H8" s="27">
        <f>COUNTIFS('Tiltaksoppfølging'!H2:H1000,"&lt;"&amp;TODAY(),'Tiltaksoppfølging'!H2:H1000,"&lt;&gt;",'Tiltaksoppfølging'!J2:J1000,"&lt;&gt;Fullført",'Tiltaksoppfølging'!J2:J1000,"&lt;&gt;Lukket")</f>
        <v/>
      </c>
    </row>
    <row r="9"/>
    <row r="10"/>
    <row r="11"/>
    <row r="12">
      <c r="A12" s="28" t="inlineStr">
        <is>
          <t>Kontrollstatus</t>
        </is>
      </c>
      <c r="B12" s="28" t="inlineStr">
        <is>
          <t>Antall</t>
        </is>
      </c>
      <c r="C12" s="28" t="inlineStr">
        <is>
          <t>Andel</t>
        </is>
      </c>
      <c r="D12" s="29" t="n"/>
      <c r="E12" s="28" t="inlineStr">
        <is>
          <t>Tiltaksstatus</t>
        </is>
      </c>
      <c r="F12" s="28" t="inlineStr">
        <is>
          <t>Antall</t>
        </is>
      </c>
    </row>
    <row r="13">
      <c r="A13" s="30" t="inlineStr">
        <is>
          <t>OK</t>
        </is>
      </c>
      <c r="B13" s="29">
        <f>COUNTIF(Kontrollmatrise!L2:L1000,A13)</f>
        <v/>
      </c>
      <c r="C13" s="31">
        <f>IFERROR(B13/$B$5,0)</f>
        <v/>
      </c>
      <c r="D13" s="29" t="n"/>
      <c r="E13" s="29" t="inlineStr">
        <is>
          <t>Ikke startet</t>
        </is>
      </c>
      <c r="F13" s="29">
        <f>COUNTIF('Tiltaksoppfølging'!J2:J1000,E13)</f>
        <v/>
      </c>
    </row>
    <row r="14">
      <c r="A14" s="32" t="inlineStr">
        <is>
          <t>Avvik</t>
        </is>
      </c>
      <c r="B14" s="29">
        <f>COUNTIF(Kontrollmatrise!L2:L1000,A14)</f>
        <v/>
      </c>
      <c r="C14" s="31">
        <f>IFERROR(B14/$B$5,0)</f>
        <v/>
      </c>
      <c r="D14" s="29" t="n"/>
      <c r="E14" s="29" t="inlineStr">
        <is>
          <t>Pågår</t>
        </is>
      </c>
      <c r="F14" s="29">
        <f>COUNTIF('Tiltaksoppfølging'!J2:J1000,E14)</f>
        <v/>
      </c>
    </row>
    <row r="15">
      <c r="A15" s="33" t="inlineStr">
        <is>
          <t>Tiltak pågår</t>
        </is>
      </c>
      <c r="B15" s="29">
        <f>COUNTIF(Kontrollmatrise!L2:L1000,A15)</f>
        <v/>
      </c>
      <c r="C15" s="31">
        <f>IFERROR(B15/$B$5,0)</f>
        <v/>
      </c>
      <c r="D15" s="29" t="n"/>
      <c r="E15" s="29" t="inlineStr">
        <is>
          <t>Venter</t>
        </is>
      </c>
      <c r="F15" s="29">
        <f>COUNTIF('Tiltaksoppfølging'!J2:J1000,E15)</f>
        <v/>
      </c>
    </row>
    <row r="16">
      <c r="A16" s="34" t="inlineStr">
        <is>
          <t>Ikke vurdert</t>
        </is>
      </c>
      <c r="B16" s="29">
        <f>COUNTIF(Kontrollmatrise!L2:L1000,A16)</f>
        <v/>
      </c>
      <c r="C16" s="31">
        <f>IFERROR(B16/$B$5,0)</f>
        <v/>
      </c>
      <c r="D16" s="29" t="n"/>
      <c r="E16" s="29" t="inlineStr">
        <is>
          <t>Fullført</t>
        </is>
      </c>
      <c r="F16" s="29">
        <f>COUNTIF('Tiltaksoppfølging'!J2:J1000,E16)</f>
        <v/>
      </c>
    </row>
    <row r="17">
      <c r="A17" s="35" t="inlineStr">
        <is>
          <t>Ikke relevant</t>
        </is>
      </c>
      <c r="B17" s="29">
        <f>COUNTIF(Kontrollmatrise!L2:L1000,A17)</f>
        <v/>
      </c>
      <c r="C17" s="31">
        <f>IFERROR(B17/$B$5,0)</f>
        <v/>
      </c>
      <c r="D17" s="29" t="n"/>
      <c r="E17" s="29" t="inlineStr">
        <is>
          <t>Lukket</t>
        </is>
      </c>
      <c r="F17" s="29">
        <f>COUNTIF('Tiltaksoppfølging'!J2:J1000,E17)</f>
        <v/>
      </c>
    </row>
    <row r="18">
      <c r="A18" s="29" t="n"/>
      <c r="B18" s="29" t="n"/>
      <c r="C18" s="29" t="n"/>
      <c r="D18" s="29" t="n"/>
      <c r="E18" s="29" t="n"/>
      <c r="F18" s="29" t="n"/>
    </row>
    <row r="19">
      <c r="A19" s="29" t="n"/>
      <c r="B19" s="29" t="n"/>
      <c r="C19" s="29" t="n"/>
      <c r="D19" s="29" t="n"/>
      <c r="E19" s="29" t="n"/>
      <c r="F19" s="29" t="n"/>
    </row>
    <row r="20">
      <c r="A20" s="29" t="n"/>
      <c r="B20" s="29" t="n"/>
      <c r="C20" s="29" t="n"/>
      <c r="D20" s="29" t="n"/>
      <c r="E20" s="29" t="n"/>
      <c r="F20" s="29" t="n"/>
    </row>
    <row r="21">
      <c r="A21" s="28" t="inlineStr">
        <is>
          <t>Kontroller per prosess</t>
        </is>
      </c>
      <c r="B21" s="28" t="inlineStr">
        <is>
          <t>Antall</t>
        </is>
      </c>
      <c r="C21" s="28" t="inlineStr">
        <is>
          <t>Avvik</t>
        </is>
      </c>
      <c r="D21" s="28" t="inlineStr">
        <is>
          <t>Tiltak pågår</t>
        </is>
      </c>
      <c r="E21" s="29" t="n"/>
      <c r="F21" s="29" t="n"/>
    </row>
    <row r="22">
      <c r="A22" s="29" t="inlineStr">
        <is>
          <t>Overordnet styring</t>
        </is>
      </c>
      <c r="B22" s="29">
        <f>COUNTIF(Kontrollmatrise!B2:B1000,A22)</f>
        <v/>
      </c>
      <c r="C22" s="29">
        <f>COUNTIFS(Kontrollmatrise!B2:B1000,A22,Kontrollmatrise!L2:L1000,"Avvik")</f>
        <v/>
      </c>
      <c r="D22" s="29">
        <f>COUNTIFS(Kontrollmatrise!B2:B1000,A22,Kontrollmatrise!L2:L1000,"Tiltak pågår")</f>
        <v/>
      </c>
      <c r="E22" s="29" t="n"/>
      <c r="F22" s="29" t="n"/>
    </row>
    <row r="23">
      <c r="A23" s="29" t="inlineStr">
        <is>
          <t>Organisering</t>
        </is>
      </c>
      <c r="B23" s="29">
        <f>COUNTIF(Kontrollmatrise!B2:B1000,A23)</f>
        <v/>
      </c>
      <c r="C23" s="29">
        <f>COUNTIFS(Kontrollmatrise!B2:B1000,A23,Kontrollmatrise!L2:L1000,"Avvik")</f>
        <v/>
      </c>
      <c r="D23" s="29">
        <f>COUNTIFS(Kontrollmatrise!B2:B1000,A23,Kontrollmatrise!L2:L1000,"Tiltak pågår")</f>
        <v/>
      </c>
      <c r="E23" s="29" t="n"/>
      <c r="F23" s="29" t="n"/>
    </row>
    <row r="24">
      <c r="A24" s="29" t="inlineStr">
        <is>
          <t>Budsjettdisponering</t>
        </is>
      </c>
      <c r="B24" s="29">
        <f>COUNTIF(Kontrollmatrise!B2:B1000,A24)</f>
        <v/>
      </c>
      <c r="C24" s="29">
        <f>COUNTIFS(Kontrollmatrise!B2:B1000,A24,Kontrollmatrise!L2:L1000,"Avvik")</f>
        <v/>
      </c>
      <c r="D24" s="29">
        <f>COUNTIFS(Kontrollmatrise!B2:B1000,A24,Kontrollmatrise!L2:L1000,"Tiltak pågår")</f>
        <v/>
      </c>
      <c r="E24" s="29" t="n"/>
      <c r="F24" s="29" t="n"/>
    </row>
    <row r="25">
      <c r="A25" s="29" t="inlineStr">
        <is>
          <t>Budsjett og plan</t>
        </is>
      </c>
      <c r="B25" s="29">
        <f>COUNTIF(Kontrollmatrise!B2:B1000,A25)</f>
        <v/>
      </c>
      <c r="C25" s="29">
        <f>COUNTIFS(Kontrollmatrise!B2:B1000,A25,Kontrollmatrise!L2:L1000,"Avvik")</f>
        <v/>
      </c>
      <c r="D25" s="29">
        <f>COUNTIFS(Kontrollmatrise!B2:B1000,A25,Kontrollmatrise!L2:L1000,"Tiltak pågår")</f>
        <v/>
      </c>
      <c r="E25" s="29" t="n"/>
      <c r="F25" s="29" t="n"/>
    </row>
    <row r="26">
      <c r="A26" s="29" t="inlineStr">
        <is>
          <t>Lønn og personal</t>
        </is>
      </c>
      <c r="B26" s="29">
        <f>COUNTIF(Kontrollmatrise!B2:B1000,A26)</f>
        <v/>
      </c>
      <c r="C26" s="29">
        <f>COUNTIFS(Kontrollmatrise!B2:B1000,A26,Kontrollmatrise!L2:L1000,"Avvik")</f>
        <v/>
      </c>
      <c r="D26" s="29">
        <f>COUNTIFS(Kontrollmatrise!B2:B1000,A26,Kontrollmatrise!L2:L1000,"Tiltak pågår")</f>
        <v/>
      </c>
      <c r="E26" s="29" t="n"/>
      <c r="F26" s="29" t="n"/>
    </row>
    <row r="27">
      <c r="A27" s="29" t="inlineStr">
        <is>
          <t>Innkjøp og bestilling</t>
        </is>
      </c>
      <c r="B27" s="29">
        <f>COUNTIF(Kontrollmatrise!B2:B1000,A27)</f>
        <v/>
      </c>
      <c r="C27" s="29">
        <f>COUNTIFS(Kontrollmatrise!B2:B1000,A27,Kontrollmatrise!L2:L1000,"Avvik")</f>
        <v/>
      </c>
      <c r="D27" s="29">
        <f>COUNTIFS(Kontrollmatrise!B2:B1000,A27,Kontrollmatrise!L2:L1000,"Tiltak pågår")</f>
        <v/>
      </c>
      <c r="E27" s="29" t="n"/>
      <c r="F27" s="29" t="n"/>
    </row>
    <row r="28">
      <c r="A28" s="29" t="inlineStr">
        <is>
          <t>Fakturabehandling</t>
        </is>
      </c>
      <c r="B28" s="29">
        <f>COUNTIF(Kontrollmatrise!B2:B1000,A28)</f>
        <v/>
      </c>
      <c r="C28" s="29">
        <f>COUNTIFS(Kontrollmatrise!B2:B1000,A28,Kontrollmatrise!L2:L1000,"Avvik")</f>
        <v/>
      </c>
      <c r="D28" s="29">
        <f>COUNTIFS(Kontrollmatrise!B2:B1000,A28,Kontrollmatrise!L2:L1000,"Tiltak pågår")</f>
        <v/>
      </c>
      <c r="E28" s="29" t="n"/>
      <c r="F28" s="29" t="n"/>
    </row>
    <row r="29">
      <c r="A29" s="29" t="inlineStr">
        <is>
          <t>Inntekter</t>
        </is>
      </c>
      <c r="B29" s="29">
        <f>COUNTIF(Kontrollmatrise!B2:B1000,A29)</f>
        <v/>
      </c>
      <c r="C29" s="29">
        <f>COUNTIFS(Kontrollmatrise!B2:B1000,A29,Kontrollmatrise!L2:L1000,"Avvik")</f>
        <v/>
      </c>
      <c r="D29" s="29">
        <f>COUNTIFS(Kontrollmatrise!B2:B1000,A29,Kontrollmatrise!L2:L1000,"Tiltak pågår")</f>
        <v/>
      </c>
      <c r="E29" s="29" t="n"/>
      <c r="F29" s="29" t="n"/>
    </row>
    <row r="30">
      <c r="A30" s="29" t="inlineStr">
        <is>
          <t>Regnskap</t>
        </is>
      </c>
      <c r="B30" s="29">
        <f>COUNTIF(Kontrollmatrise!B2:B1000,A30)</f>
        <v/>
      </c>
      <c r="C30" s="29">
        <f>COUNTIFS(Kontrollmatrise!B2:B1000,A30,Kontrollmatrise!L2:L1000,"Avvik")</f>
        <v/>
      </c>
      <c r="D30" s="29">
        <f>COUNTIFS(Kontrollmatrise!B2:B1000,A30,Kontrollmatrise!L2:L1000,"Tiltak pågår")</f>
        <v/>
      </c>
      <c r="E30" s="29" t="n"/>
      <c r="F30" s="29" t="n"/>
    </row>
    <row r="31">
      <c r="A31" s="29" t="inlineStr">
        <is>
          <t>Betaling</t>
        </is>
      </c>
      <c r="B31" s="29">
        <f>COUNTIF(Kontrollmatrise!B2:B1000,A31)</f>
        <v/>
      </c>
      <c r="C31" s="29">
        <f>COUNTIFS(Kontrollmatrise!B2:B1000,A31,Kontrollmatrise!L2:L1000,"Avvik")</f>
        <v/>
      </c>
      <c r="D31" s="29">
        <f>COUNTIFS(Kontrollmatrise!B2:B1000,A31,Kontrollmatrise!L2:L1000,"Tiltak pågår")</f>
        <v/>
      </c>
      <c r="E31" s="29" t="n"/>
      <c r="F31" s="29" t="n"/>
    </row>
    <row r="32">
      <c r="A32" s="29" t="inlineStr">
        <is>
          <t>Regnskapsdokumentasjon</t>
        </is>
      </c>
      <c r="B32" s="29">
        <f>COUNTIF(Kontrollmatrise!B2:B1000,A32)</f>
        <v/>
      </c>
      <c r="C32" s="29">
        <f>COUNTIFS(Kontrollmatrise!B2:B1000,A32,Kontrollmatrise!L2:L1000,"Avvik")</f>
        <v/>
      </c>
      <c r="D32" s="29">
        <f>COUNTIFS(Kontrollmatrise!B2:B1000,A32,Kontrollmatrise!L2:L1000,"Tiltak pågår")</f>
        <v/>
      </c>
      <c r="E32" s="29" t="n"/>
      <c r="F32" s="29" t="n"/>
    </row>
    <row r="33">
      <c r="A33" s="29" t="inlineStr">
        <is>
          <t>Ekstern rapportering</t>
        </is>
      </c>
      <c r="B33" s="29">
        <f>COUNTIF(Kontrollmatrise!B2:B1000,A33)</f>
        <v/>
      </c>
      <c r="C33" s="29">
        <f>COUNTIFS(Kontrollmatrise!B2:B1000,A33,Kontrollmatrise!L2:L1000,"Avvik")</f>
        <v/>
      </c>
      <c r="D33" s="29">
        <f>COUNTIFS(Kontrollmatrise!B2:B1000,A33,Kontrollmatrise!L2:L1000,"Tiltak pågår")</f>
        <v/>
      </c>
      <c r="E33" s="29" t="n"/>
      <c r="F33" s="29" t="n"/>
    </row>
    <row r="34">
      <c r="A34" s="29" t="inlineStr">
        <is>
          <t>Internregnskap</t>
        </is>
      </c>
      <c r="B34" s="29">
        <f>COUNTIF(Kontrollmatrise!B2:B1000,A34)</f>
        <v/>
      </c>
      <c r="C34" s="29">
        <f>COUNTIFS(Kontrollmatrise!B2:B1000,A34,Kontrollmatrise!L2:L1000,"Avvik")</f>
        <v/>
      </c>
      <c r="D34" s="29">
        <f>COUNTIFS(Kontrollmatrise!B2:B1000,A34,Kontrollmatrise!L2:L1000,"Tiltak pågår")</f>
        <v/>
      </c>
      <c r="E34" s="29" t="n"/>
      <c r="F34" s="29" t="n"/>
    </row>
    <row r="35">
      <c r="A35" s="29" t="inlineStr">
        <is>
          <t>Systemstøtte</t>
        </is>
      </c>
      <c r="B35" s="29">
        <f>COUNTIF(Kontrollmatrise!B2:B1000,A35)</f>
        <v/>
      </c>
      <c r="C35" s="29">
        <f>COUNTIFS(Kontrollmatrise!B2:B1000,A35,Kontrollmatrise!L2:L1000,"Avvik")</f>
        <v/>
      </c>
      <c r="D35" s="29">
        <f>COUNTIFS(Kontrollmatrise!B2:B1000,A35,Kontrollmatrise!L2:L1000,"Tiltak pågår")</f>
        <v/>
      </c>
      <c r="E35" s="29" t="n"/>
      <c r="F35" s="29" t="n"/>
    </row>
  </sheetData>
  <autoFilter ref="A21:D35"/>
  <mergeCells count="2">
    <mergeCell ref="A1:H2"/>
    <mergeCell ref="A3:H3"/>
  </mergeCells>
  <conditionalFormatting sqref="C13:C17">
    <cfRule type="cellIs" priority="1" operator="greaterThan" dxfId="8">
      <formula>0</formula>
    </cfRule>
  </conditionalFormatting>
  <conditionalFormatting sqref="B8">
    <cfRule type="cellIs" priority="2" operator="equal" dxfId="9">
      <formula>0</formula>
    </cfRule>
    <cfRule type="cellIs" priority="3" operator="between" dxfId="10">
      <formula>1</formula>
      <formula>2</formula>
    </cfRule>
    <cfRule type="cellIs" priority="4" operator="greaterThanOrEqual" dxfId="11">
      <formula>3</formula>
    </cfRule>
  </conditionalFormatting>
  <conditionalFormatting sqref="E8">
    <cfRule type="cellIs" priority="5" operator="equal" dxfId="9">
      <formula>0</formula>
    </cfRule>
    <cfRule type="cellIs" priority="6" operator="between" dxfId="10">
      <formula>1</formula>
      <formula>2</formula>
    </cfRule>
    <cfRule type="cellIs" priority="7" operator="greaterThanOrEqual" dxfId="11">
      <formula>3</formula>
    </cfRule>
  </conditionalFormatting>
  <conditionalFormatting sqref="H8">
    <cfRule type="cellIs" priority="8" operator="equal" dxfId="9">
      <formula>0</formula>
    </cfRule>
    <cfRule type="cellIs" priority="9" operator="between" dxfId="10">
      <formula>1</formula>
      <formula>2</formula>
    </cfRule>
    <cfRule type="cellIs" priority="10" operator="greaterThanOrEqual" dxfId="11">
      <formula>3</formula>
    </cfRule>
  </conditionalFormatting>
  <conditionalFormatting sqref="B14">
    <cfRule type="cellIs" priority="11" operator="equal" dxfId="9">
      <formula>0</formula>
    </cfRule>
    <cfRule type="cellIs" priority="12" operator="between" dxfId="10">
      <formula>1</formula>
      <formula>2</formula>
    </cfRule>
    <cfRule type="cellIs" priority="13" operator="greaterThanOrEqual" dxfId="11">
      <formula>3</formula>
    </cfRule>
  </conditionalFormatting>
  <conditionalFormatting sqref="B15">
    <cfRule type="cellIs" priority="14" operator="equal" dxfId="9">
      <formula>0</formula>
    </cfRule>
    <cfRule type="cellIs" priority="15" operator="between" dxfId="10">
      <formula>1</formula>
      <formula>2</formula>
    </cfRule>
    <cfRule type="cellIs" priority="16" operator="greaterThanOrEqual" dxfId="11">
      <formula>3</formula>
    </cfRule>
  </conditionalFormatting>
  <conditionalFormatting sqref="B16">
    <cfRule type="cellIs" priority="17" operator="equal" dxfId="9">
      <formula>0</formula>
    </cfRule>
    <cfRule type="cellIs" priority="18" operator="between" dxfId="10">
      <formula>1</formula>
      <formula>2</formula>
    </cfRule>
    <cfRule type="cellIs" priority="19" operator="greaterThanOrEqual" dxfId="11">
      <formula>3</formula>
    </cfRule>
  </conditionalFormatting>
  <conditionalFormatting sqref="D21">
    <cfRule type="cellIs" priority="20" operator="equal" dxfId="9">
      <formula>0</formula>
    </cfRule>
    <cfRule type="cellIs" priority="21" operator="between" dxfId="10">
      <formula>1</formula>
      <formula>2</formula>
    </cfRule>
    <cfRule type="cellIs" priority="22" operator="greaterThanOrEqual" dxfId="11">
      <formula>3</formula>
    </cfRule>
  </conditionalFormatting>
  <conditionalFormatting sqref="E21">
    <cfRule type="cellIs" priority="23" operator="equal" dxfId="9">
      <formula>0</formula>
    </cfRule>
    <cfRule type="cellIs" priority="24" operator="between" dxfId="10">
      <formula>1</formula>
      <formula>2</formula>
    </cfRule>
    <cfRule type="cellIs" priority="25" operator="greaterThanOrEqual" dxfId="11">
      <formula>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5" customWidth="1" min="4" max="4"/>
    <col width="18" customWidth="1" min="5" max="5"/>
    <col width="42" customWidth="1" min="6" max="6"/>
    <col width="48" customWidth="1" min="7" max="7"/>
    <col width="24" customWidth="1" min="8" max="8"/>
    <col width="36" customWidth="1" min="9" max="9"/>
    <col width="20" customWidth="1" min="10" max="10"/>
    <col width="25" customWidth="1" min="11" max="11"/>
    <col width="18" customWidth="1" min="12" max="12"/>
    <col width="30" customWidth="1" min="13" max="13"/>
    <col width="45" customWidth="1" min="14" max="14"/>
    <col width="14" customWidth="1" min="15" max="15"/>
    <col width="22" customWidth="1" min="16" max="16"/>
  </cols>
  <sheetData>
    <row r="1">
      <c r="A1" s="1" t="inlineStr">
        <is>
          <t>KRAV_ID</t>
        </is>
      </c>
      <c r="B1" s="1" t="inlineStr">
        <is>
          <t>Prosess</t>
        </is>
      </c>
      <c r="C1" s="1" t="inlineStr">
        <is>
          <t>Risikoområde</t>
        </is>
      </c>
      <c r="D1" s="1" t="inlineStr">
        <is>
          <t>Regelverk / styringsgrunnlag</t>
        </is>
      </c>
      <c r="E1" s="1" t="inlineStr">
        <is>
          <t>Henvisning</t>
        </is>
      </c>
      <c r="F1" s="1" t="inlineStr">
        <is>
          <t>Kontrollpunkt</t>
        </is>
      </c>
      <c r="G1" s="1" t="inlineStr">
        <is>
          <t>Kontrollaktivitet / test</t>
        </is>
      </c>
      <c r="H1" s="1" t="inlineStr">
        <is>
          <t>Ansvarlig rolle</t>
        </is>
      </c>
      <c r="I1" s="1" t="inlineStr">
        <is>
          <t>Dokumentasjon / evidens</t>
        </is>
      </c>
      <c r="J1" s="1" t="inlineStr">
        <is>
          <t>Frekvens</t>
        </is>
      </c>
      <c r="K1" s="1" t="inlineStr">
        <is>
          <t>System / kilde</t>
        </is>
      </c>
      <c r="L1" s="1" t="inlineStr">
        <is>
          <t>Status</t>
        </is>
      </c>
      <c r="M1" s="1" t="inlineStr">
        <is>
          <t>Merknad</t>
        </is>
      </c>
      <c r="N1" s="1" t="inlineStr">
        <is>
          <t>Kilde-URL</t>
        </is>
      </c>
      <c r="O1" s="1" t="inlineStr">
        <is>
          <t>Frist</t>
        </is>
      </c>
      <c r="P1" s="1" t="inlineStr">
        <is>
          <t>Tiltakseier</t>
        </is>
      </c>
    </row>
    <row r="2">
      <c r="A2" s="2" t="inlineStr">
        <is>
          <t>STY-01</t>
        </is>
      </c>
      <c r="B2" s="2" t="inlineStr">
        <is>
          <t>Overordnet styring</t>
        </is>
      </c>
      <c r="C2" s="3" t="inlineStr">
        <is>
          <t>Manglende etterlevelse</t>
        </is>
      </c>
      <c r="D2" s="3" t="inlineStr">
        <is>
          <t>Reglement for økonomistyring i staten / UiAs interne hovedregler</t>
        </is>
      </c>
      <c r="E2" s="3" t="inlineStr">
        <is>
          <t>Kap. 1</t>
        </is>
      </c>
      <c r="F2" s="3" t="inlineStr">
        <is>
          <t>Økonomiforvaltningen følger gjeldende regelverk</t>
        </is>
      </c>
      <c r="G2" s="3" t="inlineStr">
        <is>
          <t>Verifiser at lokale rutiner og styringsdokumenter er oppdatert mot gjeldende krav</t>
        </is>
      </c>
      <c r="H2" s="3" t="inlineStr">
        <is>
          <t>Ledelsen / prosesseier</t>
        </is>
      </c>
      <c r="I2" s="3" t="inlineStr">
        <is>
          <t>Gjeldende rutiner, vedtak og styringsdokumenter</t>
        </is>
      </c>
      <c r="J2" s="3" t="inlineStr">
        <is>
          <t>Årlig</t>
        </is>
      </c>
      <c r="K2" s="3" t="inlineStr">
        <is>
          <t>Styringsdokumenter</t>
        </is>
      </c>
      <c r="L2" s="2" t="inlineStr">
        <is>
          <t>Ikke vurdert</t>
        </is>
      </c>
      <c r="M2" s="2" t="inlineStr"/>
      <c r="N2" s="3" t="inlineStr">
        <is>
          <t>https://www.uia.no/intranett/arbeidsstotte/okonomi-og-budsjett/interne-hovedregler-for-virksomhets--og-okonomiforvaltning.pdf</t>
        </is>
      </c>
      <c r="O2" s="5" t="n"/>
      <c r="P2" s="2" t="n"/>
    </row>
    <row r="3">
      <c r="A3" s="2" t="inlineStr">
        <is>
          <t>ORG-01</t>
        </is>
      </c>
      <c r="B3" s="2" t="inlineStr">
        <is>
          <t>Organisering</t>
        </is>
      </c>
      <c r="C3" s="3" t="inlineStr">
        <is>
          <t>Uklart ansvar</t>
        </is>
      </c>
      <c r="D3" s="3" t="inlineStr">
        <is>
          <t>UiAs interne hovedregler</t>
        </is>
      </c>
      <c r="E3" s="3" t="inlineStr">
        <is>
          <t>Kap. 2</t>
        </is>
      </c>
      <c r="F3" s="3" t="inlineStr">
        <is>
          <t>Myndighet, oppgaver og ansvar er definert</t>
        </is>
      </c>
      <c r="G3" s="3" t="inlineStr">
        <is>
          <t>Kontroller at ansvar er dokumentert for relevante økonomiprosesser</t>
        </is>
      </c>
      <c r="H3" s="3" t="inlineStr">
        <is>
          <t>Ledelsen / prosesseier</t>
        </is>
      </c>
      <c r="I3" s="3" t="inlineStr">
        <is>
          <t>Rollebeskrivelser og delegasjoner</t>
        </is>
      </c>
      <c r="J3" s="3" t="inlineStr">
        <is>
          <t>Årlig</t>
        </is>
      </c>
      <c r="K3" s="3" t="inlineStr">
        <is>
          <t>Rolledatabase</t>
        </is>
      </c>
      <c r="L3" s="2" t="inlineStr">
        <is>
          <t>Ikke vurdert</t>
        </is>
      </c>
      <c r="M3" s="2" t="inlineStr"/>
      <c r="N3" s="3" t="inlineStr">
        <is>
          <t>https://www.uia.no/intranett/arbeidsstotte/okonomi-og-budsjett/interne-hovedregler-for-virksomhets--og-okonomiforvaltning.pdf</t>
        </is>
      </c>
      <c r="O3" s="5" t="n"/>
      <c r="P3" s="2" t="n"/>
    </row>
    <row r="4">
      <c r="A4" s="2" t="inlineStr">
        <is>
          <t>BDM-01</t>
        </is>
      </c>
      <c r="B4" s="2" t="inlineStr">
        <is>
          <t>Budsjettdisponering</t>
        </is>
      </c>
      <c r="C4" s="3" t="inlineStr">
        <is>
          <t>Disposisjon uten gyldig fullmakt</t>
        </is>
      </c>
      <c r="D4" s="3" t="inlineStr">
        <is>
          <t>UiAs interne hovedregler / fullmakter og roller</t>
        </is>
      </c>
      <c r="E4" s="3" t="inlineStr">
        <is>
          <t>Kap. 3.1</t>
        </is>
      </c>
      <c r="F4" s="3" t="inlineStr">
        <is>
          <t>Disposisjoner godkjennes av person med gyldig BDM</t>
        </is>
      </c>
      <c r="G4" s="3" t="inlineStr">
        <is>
          <t>Stikkprøv godkjenninger mot registrert BDM og eventuelle begrensninger</t>
        </is>
      </c>
      <c r="H4" s="3" t="inlineStr">
        <is>
          <t>BDM</t>
        </is>
      </c>
      <c r="I4" s="3" t="inlineStr">
        <is>
          <t>Skriftlig delegasjon og transaksjonsspor</t>
        </is>
      </c>
      <c r="J4" s="3" t="inlineStr">
        <is>
          <t>Per stikkprøve</t>
        </is>
      </c>
      <c r="K4" s="3" t="inlineStr">
        <is>
          <t>Rolledatabase / økonomisystem</t>
        </is>
      </c>
      <c r="L4" s="2" t="inlineStr">
        <is>
          <t>Ikke vurdert</t>
        </is>
      </c>
      <c r="M4" s="2" t="inlineStr"/>
      <c r="N4" s="3" t="inlineStr">
        <is>
          <t>https://www.uia.no/intranett/arbeidsstotte/okonomi-og-budsjett/fullmakter-og-roller.html</t>
        </is>
      </c>
      <c r="O4" s="5" t="n"/>
      <c r="P4" s="2" t="n"/>
    </row>
    <row r="5">
      <c r="A5" s="2" t="inlineStr">
        <is>
          <t>BDM-02</t>
        </is>
      </c>
      <c r="B5" s="2" t="inlineStr">
        <is>
          <t>Budsjettdisponering</t>
        </is>
      </c>
      <c r="C5" s="3" t="inlineStr">
        <is>
          <t>Ugyldig videredelegering</t>
        </is>
      </c>
      <c r="D5" s="3" t="inlineStr">
        <is>
          <t>Fullmakter og roller</t>
        </is>
      </c>
      <c r="E5" s="3" t="inlineStr">
        <is>
          <t>BDM</t>
        </is>
      </c>
      <c r="F5" s="3" t="inlineStr">
        <is>
          <t>Delegert BDM videredelegeres ikke uten nødvendig delegering fra universitetsdirektøren</t>
        </is>
      </c>
      <c r="G5" s="3" t="inlineStr">
        <is>
          <t>Sammenhold fullmaktskjeden med rolledatabase og skriftlig melding</t>
        </is>
      </c>
      <c r="H5" s="3" t="inlineStr">
        <is>
          <t>Ledelsen / økonomi</t>
        </is>
      </c>
      <c r="I5" s="3" t="inlineStr">
        <is>
          <t>Delegasjonsbrev / rolledatabase</t>
        </is>
      </c>
      <c r="J5" s="3" t="inlineStr">
        <is>
          <t>Ved endring</t>
        </is>
      </c>
      <c r="K5" s="3" t="inlineStr">
        <is>
          <t>Rolledatabase</t>
        </is>
      </c>
      <c r="L5" s="2" t="inlineStr">
        <is>
          <t>Ikke vurdert</t>
        </is>
      </c>
      <c r="M5" s="2" t="inlineStr"/>
      <c r="N5" s="3" t="inlineStr">
        <is>
          <t>https://www.uia.no/intranett/arbeidsstotte/okonomi-og-budsjett/fullmakter-og-roller.html</t>
        </is>
      </c>
      <c r="O5" s="5" t="n"/>
      <c r="P5" s="2" t="n"/>
    </row>
    <row r="6">
      <c r="A6" s="2" t="inlineStr">
        <is>
          <t>BUD-01</t>
        </is>
      </c>
      <c r="B6" s="2" t="inlineStr">
        <is>
          <t>Budsjett og plan</t>
        </is>
      </c>
      <c r="C6" s="3" t="inlineStr">
        <is>
          <t>Manglende sammenheng mellom plan og budsjett</t>
        </is>
      </c>
      <c r="D6" s="3" t="inlineStr">
        <is>
          <t>UiAs interne hovedregler</t>
        </is>
      </c>
      <c r="E6" s="3" t="inlineStr">
        <is>
          <t>Kap. 3.2</t>
        </is>
      </c>
      <c r="F6" s="3" t="inlineStr">
        <is>
          <t>Budsjett- og planarbeidet er organisert og dokumentert</t>
        </is>
      </c>
      <c r="G6" s="3" t="inlineStr">
        <is>
          <t>Kontroller at vedtatte rammer og planforutsetninger er dokumentert i budsjettgrunnlaget</t>
        </is>
      </c>
      <c r="H6" s="3" t="inlineStr">
        <is>
          <t>Budsjettansvarlig</t>
        </is>
      </c>
      <c r="I6" s="3" t="inlineStr">
        <is>
          <t>Budsjettgrunnlag og planer</t>
        </is>
      </c>
      <c r="J6" s="3" t="inlineStr">
        <is>
          <t>Årlig</t>
        </is>
      </c>
      <c r="K6" s="3" t="inlineStr">
        <is>
          <t>Budsjettverktøy</t>
        </is>
      </c>
      <c r="L6" s="2" t="inlineStr">
        <is>
          <t>Ikke vurdert</t>
        </is>
      </c>
      <c r="M6" s="2" t="inlineStr"/>
      <c r="N6" s="3" t="inlineStr">
        <is>
          <t>https://www.uia.no/intranett/arbeidsstotte/okonomi-og-budsjett/interne-hovedregler-for-virksomhets--og-okonomiforvaltning.pdf</t>
        </is>
      </c>
      <c r="O6" s="5" t="n"/>
      <c r="P6" s="2" t="n"/>
    </row>
    <row r="7">
      <c r="A7" s="2" t="inlineStr">
        <is>
          <t>LON-01</t>
        </is>
      </c>
      <c r="B7" s="2" t="inlineStr">
        <is>
          <t>Lønn og personal</t>
        </is>
      </c>
      <c r="C7" s="3" t="inlineStr">
        <is>
          <t>Feil eller udokumenterte personalkostnader</t>
        </is>
      </c>
      <c r="D7" s="3" t="inlineStr">
        <is>
          <t>UiAs interne hovedregler</t>
        </is>
      </c>
      <c r="E7" s="3" t="inlineStr">
        <is>
          <t>Kap. 4.1</t>
        </is>
      </c>
      <c r="F7" s="3" t="inlineStr">
        <is>
          <t>Lønns- og personalutgifter håndteres etter fastsatte regler</t>
        </is>
      </c>
      <c r="G7" s="3" t="inlineStr">
        <is>
          <t>Stikkprøv grunnlag, fullmakt, kontering og dokumentasjon</t>
        </is>
      </c>
      <c r="H7" s="3" t="inlineStr">
        <is>
          <t>Lønn / attestant</t>
        </is>
      </c>
      <c r="I7" s="3" t="inlineStr">
        <is>
          <t>Lønnsgrunnlag og bilag</t>
        </is>
      </c>
      <c r="J7" s="3" t="inlineStr">
        <is>
          <t>Månedlig / stikkprøve</t>
        </is>
      </c>
      <c r="K7" s="3" t="inlineStr">
        <is>
          <t>Lønns-/økonomisystem</t>
        </is>
      </c>
      <c r="L7" s="2" t="inlineStr">
        <is>
          <t>Ikke vurdert</t>
        </is>
      </c>
      <c r="M7" s="2" t="inlineStr"/>
      <c r="N7" s="3" t="inlineStr">
        <is>
          <t>https://www.uia.no/intranett/arbeidsstotte/okonomi-og-budsjett/interne-hovedregler-for-virksomhets--og-okonomiforvaltning.pdf</t>
        </is>
      </c>
      <c r="O7" s="5" t="n"/>
      <c r="P7" s="2" t="n"/>
    </row>
    <row r="8">
      <c r="A8" s="2" t="inlineStr">
        <is>
          <t>INN-01</t>
        </is>
      </c>
      <c r="B8" s="2" t="inlineStr">
        <is>
          <t>Innkjøp og bestilling</t>
        </is>
      </c>
      <c r="C8" s="3" t="inlineStr">
        <is>
          <t>Kjøp uten godkjenning</t>
        </is>
      </c>
      <c r="D8" s="3" t="inlineStr">
        <is>
          <t>Fullmakter og roller / interne hovedregler</t>
        </is>
      </c>
      <c r="E8" s="3" t="inlineStr">
        <is>
          <t>Kap. 4.2</t>
        </is>
      </c>
      <c r="F8" s="3" t="inlineStr">
        <is>
          <t>Bestilling skjer etter godkjenning fra person med BDM</t>
        </is>
      </c>
      <c r="G8" s="3" t="inlineStr">
        <is>
          <t>Stikkprøv bestillinger mot godkjenning og bestillingsfullmakt</t>
        </is>
      </c>
      <c r="H8" s="3" t="inlineStr">
        <is>
          <t>Bestiller / BDM</t>
        </is>
      </c>
      <c r="I8" s="3" t="inlineStr">
        <is>
          <t>Bestilling, godkjenning, fullmakt</t>
        </is>
      </c>
      <c r="J8" s="3" t="inlineStr">
        <is>
          <t>Per stikkprøve</t>
        </is>
      </c>
      <c r="K8" s="3" t="inlineStr">
        <is>
          <t>Unit4</t>
        </is>
      </c>
      <c r="L8" s="2" t="inlineStr">
        <is>
          <t>Ikke vurdert</t>
        </is>
      </c>
      <c r="M8" s="2" t="inlineStr"/>
      <c r="N8" s="3" t="inlineStr">
        <is>
          <t>https://www.uia.no/intranett/arbeidsstotte/okonomi-og-budsjett/fullmakter-og-roller.html</t>
        </is>
      </c>
      <c r="O8" s="5" t="n"/>
      <c r="P8" s="2" t="n"/>
    </row>
    <row r="9">
      <c r="A9" s="2" t="inlineStr">
        <is>
          <t>INN-02</t>
        </is>
      </c>
      <c r="B9" s="2" t="inlineStr">
        <is>
          <t>Innkjøp og bestilling</t>
        </is>
      </c>
      <c r="C9" s="3" t="inlineStr">
        <is>
          <t>Brudd på anskaffelsesregler</t>
        </is>
      </c>
      <c r="D9" s="3" t="inlineStr">
        <is>
          <t>Fullmakter og roller</t>
        </is>
      </c>
      <c r="E9" s="3" t="inlineStr">
        <is>
          <t>Bestillingsfullmakt</t>
        </is>
      </c>
      <c r="F9" s="3" t="inlineStr">
        <is>
          <t>Bestiller kjenner og følger reglene for statlige anskaffelser</t>
        </is>
      </c>
      <c r="G9" s="3" t="inlineStr">
        <is>
          <t>Kontroller dokumentert anskaffelsesgrunnlag i utvalgte kjøp</t>
        </is>
      </c>
      <c r="H9" s="3" t="inlineStr">
        <is>
          <t>Bestiller / innkjøp</t>
        </is>
      </c>
      <c r="I9" s="3" t="inlineStr">
        <is>
          <t>Anskaffelsesdokumentasjon</t>
        </is>
      </c>
      <c r="J9" s="3" t="inlineStr">
        <is>
          <t>Per stikkprøve</t>
        </is>
      </c>
      <c r="K9" s="3" t="inlineStr">
        <is>
          <t>Innkjøps-/økonomisystem</t>
        </is>
      </c>
      <c r="L9" s="2" t="inlineStr">
        <is>
          <t>Ikke vurdert</t>
        </is>
      </c>
      <c r="M9" s="2" t="inlineStr"/>
      <c r="N9" s="3" t="inlineStr">
        <is>
          <t>https://www.uia.no/intranett/arbeidsstotte/okonomi-og-budsjett/fullmakter-og-roller.html</t>
        </is>
      </c>
      <c r="O9" s="5" t="n"/>
      <c r="P9" s="2" t="n"/>
    </row>
    <row r="10">
      <c r="A10" s="2" t="inlineStr">
        <is>
          <t>ATT-01</t>
        </is>
      </c>
      <c r="B10" s="2" t="inlineStr">
        <is>
          <t>Fakturabehandling</t>
        </is>
      </c>
      <c r="C10" s="3" t="inlineStr">
        <is>
          <t>Betaling av feil/ugyldig faktura</t>
        </is>
      </c>
      <c r="D10" s="3" t="inlineStr">
        <is>
          <t>Fullmakter og roller</t>
        </is>
      </c>
      <c r="E10" s="3" t="inlineStr">
        <is>
          <t>Attestasjonsmyndighet</t>
        </is>
      </c>
      <c r="F10" s="3" t="inlineStr">
        <is>
          <t>Alle utgifter er kontrollert og attestert før utbetaling</t>
        </is>
      </c>
      <c r="G10" s="3" t="inlineStr">
        <is>
          <t>Stikkprøv at attestasjon er utført før betaling</t>
        </is>
      </c>
      <c r="H10" s="3" t="inlineStr">
        <is>
          <t>Attestant</t>
        </is>
      </c>
      <c r="I10" s="3" t="inlineStr">
        <is>
          <t>Faktura, attestasjon, betalingsspor</t>
        </is>
      </c>
      <c r="J10" s="3" t="inlineStr">
        <is>
          <t>Per stikkprøve</t>
        </is>
      </c>
      <c r="K10" s="3" t="inlineStr">
        <is>
          <t>Unit4</t>
        </is>
      </c>
      <c r="L10" s="2" t="inlineStr">
        <is>
          <t>Ikke vurdert</t>
        </is>
      </c>
      <c r="M10" s="2" t="inlineStr"/>
      <c r="N10" s="3" t="inlineStr">
        <is>
          <t>https://www.uia.no/intranett/arbeidsstotte/okonomi-og-budsjett/fullmakter-og-roller.html</t>
        </is>
      </c>
      <c r="O10" s="5" t="n"/>
      <c r="P10" s="2" t="n"/>
    </row>
    <row r="11">
      <c r="A11" s="2" t="inlineStr">
        <is>
          <t>ATT-02</t>
        </is>
      </c>
      <c r="B11" s="2" t="inlineStr">
        <is>
          <t>Fakturabehandling</t>
        </is>
      </c>
      <c r="C11" s="3" t="inlineStr">
        <is>
          <t>Vare/tjeneste ikke mottatt</t>
        </is>
      </c>
      <c r="D11" s="3" t="inlineStr">
        <is>
          <t>Fullmakter og roller</t>
        </is>
      </c>
      <c r="E11" s="3" t="inlineStr">
        <is>
          <t>Attestasjonsmyndighet</t>
        </is>
      </c>
      <c r="F11" s="3" t="inlineStr">
        <is>
          <t>Mottak samsvarer med bestilling eller avtale</t>
        </is>
      </c>
      <c r="G11" s="3" t="inlineStr">
        <is>
          <t>Sammenhold faktura med bestilling, avtale og mottaksbekreftelse</t>
        </is>
      </c>
      <c r="H11" s="3" t="inlineStr">
        <is>
          <t>Attestant</t>
        </is>
      </c>
      <c r="I11" s="3" t="inlineStr">
        <is>
          <t>Bestilling, avtale, mottak, faktura</t>
        </is>
      </c>
      <c r="J11" s="3" t="inlineStr">
        <is>
          <t>Per stikkprøve</t>
        </is>
      </c>
      <c r="K11" s="3" t="inlineStr">
        <is>
          <t>Unit4</t>
        </is>
      </c>
      <c r="L11" s="2" t="inlineStr">
        <is>
          <t>Ikke vurdert</t>
        </is>
      </c>
      <c r="M11" s="2" t="inlineStr"/>
      <c r="N11" s="3" t="inlineStr">
        <is>
          <t>https://www.uia.no/intranett/arbeidsstotte/okonomi-og-budsjett/fullmakter-og-roller.html</t>
        </is>
      </c>
      <c r="O11" s="5" t="n"/>
      <c r="P11" s="2" t="n"/>
    </row>
    <row r="12">
      <c r="A12" s="2" t="inlineStr">
        <is>
          <t>ATT-03</t>
        </is>
      </c>
      <c r="B12" s="2" t="inlineStr">
        <is>
          <t>Fakturabehandling</t>
        </is>
      </c>
      <c r="C12" s="3" t="inlineStr">
        <is>
          <t>Feil pris/betingelser</t>
        </is>
      </c>
      <c r="D12" s="3" t="inlineStr">
        <is>
          <t>Fullmakter og roller</t>
        </is>
      </c>
      <c r="E12" s="3" t="inlineStr">
        <is>
          <t>Attestasjonsmyndighet</t>
        </is>
      </c>
      <c r="F12" s="3" t="inlineStr">
        <is>
          <t>Priser, utregninger og betingelser er korrekte</t>
        </is>
      </c>
      <c r="G12" s="3" t="inlineStr">
        <is>
          <t>Etterregn og sammenhold med avtale/rammeavtale</t>
        </is>
      </c>
      <c r="H12" s="3" t="inlineStr">
        <is>
          <t>Attestant</t>
        </is>
      </c>
      <c r="I12" s="3" t="inlineStr">
        <is>
          <t>Avtale og faktura</t>
        </is>
      </c>
      <c r="J12" s="3" t="inlineStr">
        <is>
          <t>Per stikkprøve</t>
        </is>
      </c>
      <c r="K12" s="3" t="inlineStr">
        <is>
          <t>Unit4</t>
        </is>
      </c>
      <c r="L12" s="2" t="inlineStr">
        <is>
          <t>Ikke vurdert</t>
        </is>
      </c>
      <c r="M12" s="2" t="inlineStr"/>
      <c r="N12" s="3" t="inlineStr">
        <is>
          <t>https://www.uia.no/intranett/arbeidsstotte/okonomi-og-budsjett/fullmakter-og-roller.html</t>
        </is>
      </c>
      <c r="O12" s="5" t="n"/>
      <c r="P12" s="2" t="n"/>
    </row>
    <row r="13">
      <c r="A13" s="2" t="inlineStr">
        <is>
          <t>ATT-04</t>
        </is>
      </c>
      <c r="B13" s="2" t="inlineStr">
        <is>
          <t>Fakturabehandling</t>
        </is>
      </c>
      <c r="C13" s="3" t="inlineStr">
        <is>
          <t>Mangelfullt bilag</t>
        </is>
      </c>
      <c r="D13" s="3" t="inlineStr">
        <is>
          <t>Fullmakter og roller</t>
        </is>
      </c>
      <c r="E13" s="3" t="inlineStr">
        <is>
          <t>Attestasjonsmyndighet</t>
        </is>
      </c>
      <c r="F13" s="3" t="inlineStr">
        <is>
          <t>Bilagsdokumentasjon er i samsvar med gjeldende regler</t>
        </is>
      </c>
      <c r="G13" s="3" t="inlineStr">
        <is>
          <t>Kontroller at bilag har nødvendig dokumentasjon og sporbarhet</t>
        </is>
      </c>
      <c r="H13" s="3" t="inlineStr">
        <is>
          <t>Attestant</t>
        </is>
      </c>
      <c r="I13" s="3" t="inlineStr">
        <is>
          <t>Bilag / vedlegg</t>
        </is>
      </c>
      <c r="J13" s="3" t="inlineStr">
        <is>
          <t>Per stikkprøve</t>
        </is>
      </c>
      <c r="K13" s="3" t="inlineStr">
        <is>
          <t>Unit4</t>
        </is>
      </c>
      <c r="L13" s="2" t="inlineStr">
        <is>
          <t>Ikke vurdert</t>
        </is>
      </c>
      <c r="M13" s="2" t="inlineStr"/>
      <c r="N13" s="3" t="inlineStr">
        <is>
          <t>https://www.uia.no/intranett/arbeidsstotte/okonomi-og-budsjett/fullmakter-og-roller.html</t>
        </is>
      </c>
      <c r="O13" s="5" t="n"/>
      <c r="P13" s="2" t="n"/>
    </row>
    <row r="14">
      <c r="A14" s="2" t="inlineStr">
        <is>
          <t>ATT-05</t>
        </is>
      </c>
      <c r="B14" s="2" t="inlineStr">
        <is>
          <t>Fakturabehandling</t>
        </is>
      </c>
      <c r="C14" s="3" t="inlineStr">
        <is>
          <t>Feil kontering</t>
        </is>
      </c>
      <c r="D14" s="3" t="inlineStr">
        <is>
          <t>Fullmakter og roller</t>
        </is>
      </c>
      <c r="E14" s="3" t="inlineStr">
        <is>
          <t>Attestasjonsmyndighet</t>
        </is>
      </c>
      <c r="F14" s="3" t="inlineStr">
        <is>
          <t>Kontering er korrekt</t>
        </is>
      </c>
      <c r="G14" s="3" t="inlineStr">
        <is>
          <t>Stikkprøv konto, koststed/prosjekt og øvrige dimensjoner mot underlag</t>
        </is>
      </c>
      <c r="H14" s="3" t="inlineStr">
        <is>
          <t>Attestant / økonomi</t>
        </is>
      </c>
      <c r="I14" s="3" t="inlineStr">
        <is>
          <t>Bilag og kontering</t>
        </is>
      </c>
      <c r="J14" s="3" t="inlineStr">
        <is>
          <t>Per stikkprøve</t>
        </is>
      </c>
      <c r="K14" s="3" t="inlineStr">
        <is>
          <t>Unit4</t>
        </is>
      </c>
      <c r="L14" s="2" t="inlineStr">
        <is>
          <t>Ikke vurdert</t>
        </is>
      </c>
      <c r="M14" s="2" t="inlineStr"/>
      <c r="N14" s="3" t="inlineStr">
        <is>
          <t>https://www.uia.no/intranett/arbeidsstotte/okonomi-og-budsjett/fullmakter-og-roller.html</t>
        </is>
      </c>
      <c r="O14" s="5" t="n"/>
      <c r="P14" s="2" t="n"/>
    </row>
    <row r="15">
      <c r="A15" s="2" t="inlineStr">
        <is>
          <t>INNT-01</t>
        </is>
      </c>
      <c r="B15" s="2" t="inlineStr">
        <is>
          <t>Inntekter</t>
        </is>
      </c>
      <c r="C15" s="3" t="inlineStr">
        <is>
          <t>Ufullstendig/feil inntektsføring</t>
        </is>
      </c>
      <c r="D15" s="3" t="inlineStr">
        <is>
          <t>UiAs interne hovedregler</t>
        </is>
      </c>
      <c r="E15" s="3" t="inlineStr">
        <is>
          <t>Kap. 4.3</t>
        </is>
      </c>
      <c r="F15" s="3" t="inlineStr">
        <is>
          <t>Inntekter håndteres etter fastsatte regler</t>
        </is>
      </c>
      <c r="G15" s="3" t="inlineStr">
        <is>
          <t>Stikkprøv fakturagrunnlag, godkjenning, kontering og innbetaling</t>
        </is>
      </c>
      <c r="H15" s="3" t="inlineStr">
        <is>
          <t>Økonomi / attestant</t>
        </is>
      </c>
      <c r="I15" s="3" t="inlineStr">
        <is>
          <t>Fakturagrunnlag, faktura, innbetaling</t>
        </is>
      </c>
      <c r="J15" s="3" t="inlineStr">
        <is>
          <t>Månedlig / stikkprøve</t>
        </is>
      </c>
      <c r="K15" s="3" t="inlineStr">
        <is>
          <t>Unit4</t>
        </is>
      </c>
      <c r="L15" s="2" t="inlineStr">
        <is>
          <t>Ikke vurdert</t>
        </is>
      </c>
      <c r="M15" s="2" t="inlineStr"/>
      <c r="N15" s="3" t="inlineStr">
        <is>
          <t>https://www.uia.no/intranett/arbeidsstotte/okonomi-og-budsjett/interne-hovedregler-for-virksomhets--og-okonomiforvaltning.pdf</t>
        </is>
      </c>
      <c r="O15" s="5" t="n"/>
      <c r="P15" s="2" t="n"/>
    </row>
    <row r="16">
      <c r="A16" s="2" t="inlineStr">
        <is>
          <t>REG-01</t>
        </is>
      </c>
      <c r="B16" s="2" t="inlineStr">
        <is>
          <t>Regnskap</t>
        </is>
      </c>
      <c r="C16" s="3" t="inlineStr">
        <is>
          <t>Feil regnskapsføring</t>
        </is>
      </c>
      <c r="D16" s="3" t="inlineStr">
        <is>
          <t>UiAs interne hovedregler</t>
        </is>
      </c>
      <c r="E16" s="3" t="inlineStr">
        <is>
          <t>Kap. 5.1-5.2</t>
        </is>
      </c>
      <c r="F16" s="3" t="inlineStr">
        <is>
          <t>Regnskapsarbeid og regnskapsføring er organisert og kontrollert</t>
        </is>
      </c>
      <c r="G16" s="3" t="inlineStr">
        <is>
          <t>Stikkprøv posteringer og avstemminger mot bilag</t>
        </is>
      </c>
      <c r="H16" s="3" t="inlineStr">
        <is>
          <t>Regnskap</t>
        </is>
      </c>
      <c r="I16" s="3" t="inlineStr">
        <is>
          <t>Bilag, hovedbok, avstemminger</t>
        </is>
      </c>
      <c r="J16" s="3" t="inlineStr">
        <is>
          <t>Månedlig</t>
        </is>
      </c>
      <c r="K16" s="3" t="inlineStr">
        <is>
          <t>Unit4</t>
        </is>
      </c>
      <c r="L16" s="2" t="inlineStr">
        <is>
          <t>Ikke vurdert</t>
        </is>
      </c>
      <c r="M16" s="2" t="inlineStr"/>
      <c r="N16" s="3" t="inlineStr">
        <is>
          <t>https://www.uia.no/intranett/arbeidsstotte/okonomi-og-budsjett/interne-hovedregler-for-virksomhets--og-okonomiforvaltning.pdf</t>
        </is>
      </c>
      <c r="O16" s="5" t="n"/>
      <c r="P16" s="2" t="n"/>
    </row>
    <row r="17">
      <c r="A17" s="2" t="inlineStr">
        <is>
          <t>BET-01</t>
        </is>
      </c>
      <c r="B17" s="2" t="inlineStr">
        <is>
          <t>Betaling</t>
        </is>
      </c>
      <c r="C17" s="3" t="inlineStr">
        <is>
          <t>Utbetaling uten korrekt grunnlag</t>
        </is>
      </c>
      <c r="D17" s="3" t="inlineStr">
        <is>
          <t>UiAs interne hovedregler</t>
        </is>
      </c>
      <c r="E17" s="3" t="inlineStr">
        <is>
          <t>Kap. 5.2</t>
        </is>
      </c>
      <c r="F17" s="3" t="inlineStr">
        <is>
          <t>Betalingsformidling skjer på korrekt regnskapsgrunnlag</t>
        </is>
      </c>
      <c r="G17" s="3" t="inlineStr">
        <is>
          <t>Stikkprøv betaling mot godkjent og attestert bilag</t>
        </is>
      </c>
      <c r="H17" s="3" t="inlineStr">
        <is>
          <t>Regnskap</t>
        </is>
      </c>
      <c r="I17" s="3" t="inlineStr">
        <is>
          <t>Betalingsfil, bilag, godkjenning</t>
        </is>
      </c>
      <c r="J17" s="3" t="inlineStr">
        <is>
          <t>Per stikkprøve</t>
        </is>
      </c>
      <c r="K17" s="3" t="inlineStr">
        <is>
          <t>Unit4</t>
        </is>
      </c>
      <c r="L17" s="2" t="inlineStr">
        <is>
          <t>Ikke vurdert</t>
        </is>
      </c>
      <c r="M17" s="2" t="inlineStr"/>
      <c r="N17" s="3" t="inlineStr">
        <is>
          <t>https://www.uia.no/intranett/arbeidsstotte/okonomi-og-budsjett/interne-hovedregler-for-virksomhets--og-okonomiforvaltning.pdf</t>
        </is>
      </c>
      <c r="O17" s="5" t="n"/>
      <c r="P17" s="2" t="n"/>
    </row>
    <row r="18">
      <c r="A18" s="2" t="inlineStr">
        <is>
          <t>ARK-01</t>
        </is>
      </c>
      <c r="B18" s="2" t="inlineStr">
        <is>
          <t>Regnskapsdokumentasjon</t>
        </is>
      </c>
      <c r="C18" s="3" t="inlineStr">
        <is>
          <t>Mangelfull arkivering/sporbarhet</t>
        </is>
      </c>
      <c r="D18" s="3" t="inlineStr">
        <is>
          <t>UiAs interne hovedregler</t>
        </is>
      </c>
      <c r="E18" s="3" t="inlineStr">
        <is>
          <t>Kap. 5.3</t>
        </is>
      </c>
      <c r="F18" s="3" t="inlineStr">
        <is>
          <t>Regnskapsmateriell og dokumentasjon arkiveres</t>
        </is>
      </c>
      <c r="G18" s="3" t="inlineStr">
        <is>
          <t>Stikkprøv at underlag kan gjenfinnes og knyttes til posteringen</t>
        </is>
      </c>
      <c r="H18" s="3" t="inlineStr">
        <is>
          <t>Regnskap / prosesseier</t>
        </is>
      </c>
      <c r="I18" s="3" t="inlineStr">
        <is>
          <t>Regnskapsdokumentasjon</t>
        </is>
      </c>
      <c r="J18" s="3" t="inlineStr">
        <is>
          <t>Kvartalsvis / stikkprøve</t>
        </is>
      </c>
      <c r="K18" s="3" t="inlineStr">
        <is>
          <t>Arkiv / Unit4</t>
        </is>
      </c>
      <c r="L18" s="2" t="inlineStr">
        <is>
          <t>Ikke vurdert</t>
        </is>
      </c>
      <c r="M18" s="2" t="inlineStr"/>
      <c r="N18" s="3" t="inlineStr">
        <is>
          <t>https://www.uia.no/intranett/arbeidsstotte/okonomi-og-budsjett/interne-hovedregler-for-virksomhets--og-okonomiforvaltning.pdf</t>
        </is>
      </c>
      <c r="O18" s="5" t="n"/>
      <c r="P18" s="2" t="n"/>
    </row>
    <row r="19">
      <c r="A19" s="2" t="inlineStr">
        <is>
          <t>RAP-01</t>
        </is>
      </c>
      <c r="B19" s="2" t="inlineStr">
        <is>
          <t>Ekstern rapportering</t>
        </is>
      </c>
      <c r="C19" s="3" t="inlineStr">
        <is>
          <t>Feil rapport til statsregnskapet</t>
        </is>
      </c>
      <c r="D19" s="3" t="inlineStr">
        <is>
          <t>UiAs interne hovedregler</t>
        </is>
      </c>
      <c r="E19" s="3" t="inlineStr">
        <is>
          <t>Kap. 5.4</t>
        </is>
      </c>
      <c r="F19" s="3" t="inlineStr">
        <is>
          <t>Rapportering til statsregnskapet er korrekt</t>
        </is>
      </c>
      <c r="G19" s="3" t="inlineStr">
        <is>
          <t>Avstem rapporterte tall mot godkjent regnskapsgrunnlag</t>
        </is>
      </c>
      <c r="H19" s="3" t="inlineStr">
        <is>
          <t>Regnskap / økonomi</t>
        </is>
      </c>
      <c r="I19" s="3" t="inlineStr">
        <is>
          <t>Avstemming og rapporteringsgrunnlag</t>
        </is>
      </c>
      <c r="J19" s="3" t="inlineStr">
        <is>
          <t>Per rapportering</t>
        </is>
      </c>
      <c r="K19" s="3" t="inlineStr">
        <is>
          <t>Unit4</t>
        </is>
      </c>
      <c r="L19" s="2" t="inlineStr">
        <is>
          <t>Ikke vurdert</t>
        </is>
      </c>
      <c r="M19" s="2" t="inlineStr"/>
      <c r="N19" s="3" t="inlineStr">
        <is>
          <t>https://www.uia.no/intranett/arbeidsstotte/okonomi-og-budsjett/interne-hovedregler-for-virksomhets--og-okonomiforvaltning.pdf</t>
        </is>
      </c>
      <c r="O19" s="5" t="n"/>
      <c r="P19" s="2" t="n"/>
    </row>
    <row r="20">
      <c r="A20" s="2" t="inlineStr">
        <is>
          <t>IR-01</t>
        </is>
      </c>
      <c r="B20" s="2" t="inlineStr">
        <is>
          <t>Internregnskap</t>
        </is>
      </c>
      <c r="C20" s="3" t="inlineStr">
        <is>
          <t>Feil styringsinformasjon</t>
        </is>
      </c>
      <c r="D20" s="3" t="inlineStr">
        <is>
          <t>UiAs interne hovedregler</t>
        </is>
      </c>
      <c r="E20" s="3" t="inlineStr">
        <is>
          <t>Kap. 5.5</t>
        </is>
      </c>
      <c r="F20" s="3" t="inlineStr">
        <is>
          <t>Internregnskapet er avstemt og egnet som styringsgrunnlag</t>
        </is>
      </c>
      <c r="G20" s="3" t="inlineStr">
        <is>
          <t>Kontroller avstemminger og vesentlige avvik før rapportering</t>
        </is>
      </c>
      <c r="H20" s="3" t="inlineStr">
        <is>
          <t>Økonomi / budsjettansvarlig</t>
        </is>
      </c>
      <c r="I20" s="3" t="inlineStr">
        <is>
          <t>Internrapporter og avstemminger</t>
        </is>
      </c>
      <c r="J20" s="3" t="inlineStr">
        <is>
          <t>Månedlig / tertial</t>
        </is>
      </c>
      <c r="K20" s="3" t="inlineStr">
        <is>
          <t>Unit4</t>
        </is>
      </c>
      <c r="L20" s="2" t="inlineStr">
        <is>
          <t>Ikke vurdert</t>
        </is>
      </c>
      <c r="M20" s="2" t="inlineStr"/>
      <c r="N20" s="3" t="inlineStr">
        <is>
          <t>https://www.uia.no/intranett/arbeidsstotte/okonomi-og-budsjett/interne-hovedregler-for-virksomhets--og-okonomiforvaltning.pdf</t>
        </is>
      </c>
      <c r="O20" s="5" t="n"/>
      <c r="P20" s="2" t="n"/>
    </row>
    <row r="21">
      <c r="A21" s="2" t="inlineStr">
        <is>
          <t>SYS-01</t>
        </is>
      </c>
      <c r="B21" s="2" t="inlineStr">
        <is>
          <t>Systemstøtte</t>
        </is>
      </c>
      <c r="C21" s="3" t="inlineStr">
        <is>
          <t>Mangelfull transaksjonssporing</t>
        </is>
      </c>
      <c r="D21" s="3" t="inlineStr">
        <is>
          <t>UiAs økonomi- og budsjettsider</t>
        </is>
      </c>
      <c r="E21" s="3" t="inlineStr">
        <is>
          <t>Unit4</t>
        </is>
      </c>
      <c r="F21" s="3" t="inlineStr">
        <is>
          <t>Relevante økonomiprosesser har sporbar behandling i systemet</t>
        </is>
      </c>
      <c r="G21" s="3" t="inlineStr">
        <is>
          <t>Stikkprøv spor for bestilling, faktura, regnskapsføring, betaling/fakturering og rapportering</t>
        </is>
      </c>
      <c r="H21" s="3" t="inlineStr">
        <is>
          <t>System-/prosesseier</t>
        </is>
      </c>
      <c r="I21" s="3" t="inlineStr">
        <is>
          <t>Systemlogg / transaksjonsspor</t>
        </is>
      </c>
      <c r="J21" s="3" t="inlineStr">
        <is>
          <t>Kvartalsvis</t>
        </is>
      </c>
      <c r="K21" s="3" t="inlineStr">
        <is>
          <t>Unit4</t>
        </is>
      </c>
      <c r="L21" s="2" t="inlineStr">
        <is>
          <t>Ikke vurdert</t>
        </is>
      </c>
      <c r="M21" s="2" t="inlineStr"/>
      <c r="N21" s="3" t="inlineStr">
        <is>
          <t>https://www.uia.no/intranett/arbeidsstotte/okonomi-og-budsjett/</t>
        </is>
      </c>
      <c r="O21" s="5" t="n"/>
      <c r="P21" s="2" t="n"/>
    </row>
  </sheetData>
  <conditionalFormatting sqref="L2:L21">
    <cfRule type="expression" priority="1" dxfId="0">
      <formula>L2="OK"</formula>
    </cfRule>
    <cfRule type="expression" priority="2" dxfId="1">
      <formula>L2="Avvik"</formula>
    </cfRule>
    <cfRule type="expression" priority="3" dxfId="2">
      <formula>L2="Tiltak pågår"</formula>
    </cfRule>
  </conditionalFormatting>
  <dataValidations count="1">
    <dataValidation sqref="L2:L21" showDropDown="0" showInputMessage="0" showErrorMessage="0" allowBlank="0" type="list">
      <formula1>"Ikke vurdert,OK,Avvik,Ikke relevant,Tiltak pågår"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4" customWidth="1" min="4" max="4"/>
    <col width="42" customWidth="1" min="5" max="5"/>
    <col width="22" customWidth="1" min="6" max="6"/>
    <col width="14" customWidth="1" min="7" max="7"/>
    <col width="12" customWidth="1" min="8" max="8"/>
    <col width="16" customWidth="1" min="9" max="9"/>
    <col width="16" customWidth="1" min="10" max="10"/>
    <col width="42" customWidth="1" min="11" max="11"/>
    <col width="30" customWidth="1" min="12" max="12"/>
  </cols>
  <sheetData>
    <row r="1" ht="32" customHeight="1">
      <c r="A1" s="7" t="inlineStr">
        <is>
          <t>Tiltak_ID</t>
        </is>
      </c>
      <c r="B1" s="7" t="inlineStr">
        <is>
          <t>KRAV_ID</t>
        </is>
      </c>
      <c r="C1" t="inlineStr">
        <is>
          <t>Kontrollstatus</t>
        </is>
      </c>
      <c r="D1" s="7" t="inlineStr">
        <is>
          <t>Prosess</t>
        </is>
      </c>
      <c r="E1" s="7" t="inlineStr">
        <is>
          <t>Kontrollpunkt / avvik</t>
        </is>
      </c>
      <c r="F1" s="7" t="inlineStr">
        <is>
          <t>Tiltak</t>
        </is>
      </c>
      <c r="G1" s="7" t="inlineStr">
        <is>
          <t>Tiltakseier</t>
        </is>
      </c>
      <c r="H1" s="7" t="inlineStr">
        <is>
          <t>Frist</t>
        </is>
      </c>
      <c r="I1" s="7" t="inlineStr">
        <is>
          <t>Prioritet</t>
        </is>
      </c>
      <c r="J1" s="7" t="inlineStr">
        <is>
          <t>Tiltaksstatus</t>
        </is>
      </c>
      <c r="K1" s="7" t="inlineStr">
        <is>
          <t>Sist oppdatert</t>
        </is>
      </c>
      <c r="L1" s="7" t="inlineStr">
        <is>
          <t>Oppfølging / kommentar</t>
        </is>
      </c>
      <c r="M1" s="7" t="inlineStr">
        <is>
          <t>Dokumentasjon / lenke</t>
        </is>
      </c>
    </row>
    <row r="2">
      <c r="A2" s="8" t="inlineStr">
        <is>
          <t>T-001</t>
        </is>
      </c>
      <c r="B2" s="9" t="n"/>
      <c r="C2" s="10">
        <f>IF($B2="","",IFERROR(INDEX(Kontrollmatrise!$L:$L,MATCH($B2,Kontrollmatrise!$A:$A,0)),""))</f>
        <v/>
      </c>
      <c r="D2" s="10">
        <f>IFERROR(INDEX(Kontrollmatrise!$B:$B,MATCH($B2,Kontrollmatrise!$A:$A,0)),"")</f>
        <v/>
      </c>
      <c r="E2" s="10">
        <f>IFERROR(INDEX(Kontrollmatrise!$F:$F,MATCH($B2,Kontrollmatrise!$A:$A,0)),"")</f>
        <v/>
      </c>
      <c r="F2" s="9" t="n"/>
      <c r="G2" s="10">
        <f>IF($B2="","",IFERROR(INDEX(Kontrollmatrise!$P:$P,MATCH($B2,Kontrollmatrise!$A:$A,0)),""))</f>
        <v/>
      </c>
      <c r="H2" s="11">
        <f>IF($B2="","",IFERROR(INDEX(Kontrollmatrise!$O:$O,MATCH($B2,Kontrollmatrise!$A:$A,0)),""))</f>
        <v/>
      </c>
      <c r="I2" s="9" t="n"/>
      <c r="J2" s="9" t="n"/>
      <c r="K2" s="12" t="n"/>
      <c r="L2" s="9" t="n"/>
      <c r="M2" s="9" t="n"/>
    </row>
    <row r="3">
      <c r="A3" s="8" t="inlineStr">
        <is>
          <t>T-002</t>
        </is>
      </c>
      <c r="B3" s="9" t="n"/>
      <c r="C3" s="10">
        <f>IF($B3="","",IFERROR(INDEX(Kontrollmatrise!$L:$L,MATCH($B3,Kontrollmatrise!$A:$A,0)),""))</f>
        <v/>
      </c>
      <c r="D3" s="10">
        <f>IFERROR(INDEX(Kontrollmatrise!$B:$B,MATCH($B3,Kontrollmatrise!$A:$A,0)),"")</f>
        <v/>
      </c>
      <c r="E3" s="10">
        <f>IFERROR(INDEX(Kontrollmatrise!$F:$F,MATCH($B3,Kontrollmatrise!$A:$A,0)),"")</f>
        <v/>
      </c>
      <c r="F3" s="9" t="n"/>
      <c r="G3" s="10">
        <f>IF($B3="","",IFERROR(INDEX(Kontrollmatrise!$P:$P,MATCH($B3,Kontrollmatrise!$A:$A,0)),""))</f>
        <v/>
      </c>
      <c r="H3" s="11">
        <f>IF($B3="","",IFERROR(INDEX(Kontrollmatrise!$O:$O,MATCH($B3,Kontrollmatrise!$A:$A,0)),""))</f>
        <v/>
      </c>
      <c r="I3" s="9" t="n"/>
      <c r="J3" s="9" t="n"/>
      <c r="K3" s="12" t="n"/>
      <c r="L3" s="9" t="n"/>
      <c r="M3" s="9" t="n"/>
    </row>
    <row r="4">
      <c r="A4" s="8" t="inlineStr">
        <is>
          <t>T-003</t>
        </is>
      </c>
      <c r="B4" s="9" t="n"/>
      <c r="C4" s="10">
        <f>IF($B4="","",IFERROR(INDEX(Kontrollmatrise!$L:$L,MATCH($B4,Kontrollmatrise!$A:$A,0)),""))</f>
        <v/>
      </c>
      <c r="D4" s="10">
        <f>IFERROR(INDEX(Kontrollmatrise!$B:$B,MATCH($B4,Kontrollmatrise!$A:$A,0)),"")</f>
        <v/>
      </c>
      <c r="E4" s="10">
        <f>IFERROR(INDEX(Kontrollmatrise!$F:$F,MATCH($B4,Kontrollmatrise!$A:$A,0)),"")</f>
        <v/>
      </c>
      <c r="F4" s="9" t="n"/>
      <c r="G4" s="10">
        <f>IF($B4="","",IFERROR(INDEX(Kontrollmatrise!$P:$P,MATCH($B4,Kontrollmatrise!$A:$A,0)),""))</f>
        <v/>
      </c>
      <c r="H4" s="11">
        <f>IF($B4="","",IFERROR(INDEX(Kontrollmatrise!$O:$O,MATCH($B4,Kontrollmatrise!$A:$A,0)),""))</f>
        <v/>
      </c>
      <c r="I4" s="9" t="n"/>
      <c r="J4" s="9" t="n"/>
      <c r="K4" s="12" t="n"/>
      <c r="L4" s="9" t="n"/>
      <c r="M4" s="9" t="n"/>
    </row>
    <row r="5">
      <c r="A5" s="8" t="inlineStr">
        <is>
          <t>T-004</t>
        </is>
      </c>
      <c r="B5" s="9" t="n"/>
      <c r="C5" s="10">
        <f>IF($B5="","",IFERROR(INDEX(Kontrollmatrise!$L:$L,MATCH($B5,Kontrollmatrise!$A:$A,0)),""))</f>
        <v/>
      </c>
      <c r="D5" s="10">
        <f>IFERROR(INDEX(Kontrollmatrise!$B:$B,MATCH($B5,Kontrollmatrise!$A:$A,0)),"")</f>
        <v/>
      </c>
      <c r="E5" s="10">
        <f>IFERROR(INDEX(Kontrollmatrise!$F:$F,MATCH($B5,Kontrollmatrise!$A:$A,0)),"")</f>
        <v/>
      </c>
      <c r="F5" s="9" t="n"/>
      <c r="G5" s="10">
        <f>IF($B5="","",IFERROR(INDEX(Kontrollmatrise!$P:$P,MATCH($B5,Kontrollmatrise!$A:$A,0)),""))</f>
        <v/>
      </c>
      <c r="H5" s="11">
        <f>IF($B5="","",IFERROR(INDEX(Kontrollmatrise!$O:$O,MATCH($B5,Kontrollmatrise!$A:$A,0)),""))</f>
        <v/>
      </c>
      <c r="I5" s="9" t="n"/>
      <c r="J5" s="9" t="n"/>
      <c r="K5" s="12" t="n"/>
      <c r="L5" s="9" t="n"/>
      <c r="M5" s="9" t="n"/>
    </row>
    <row r="6">
      <c r="A6" s="8" t="inlineStr">
        <is>
          <t>T-005</t>
        </is>
      </c>
      <c r="B6" s="9" t="n"/>
      <c r="C6" s="10">
        <f>IF($B6="","",IFERROR(INDEX(Kontrollmatrise!$L:$L,MATCH($B6,Kontrollmatrise!$A:$A,0)),""))</f>
        <v/>
      </c>
      <c r="D6" s="10">
        <f>IFERROR(INDEX(Kontrollmatrise!$B:$B,MATCH($B6,Kontrollmatrise!$A:$A,0)),"")</f>
        <v/>
      </c>
      <c r="E6" s="10">
        <f>IFERROR(INDEX(Kontrollmatrise!$F:$F,MATCH($B6,Kontrollmatrise!$A:$A,0)),"")</f>
        <v/>
      </c>
      <c r="F6" s="9" t="n"/>
      <c r="G6" s="10">
        <f>IF($B6="","",IFERROR(INDEX(Kontrollmatrise!$P:$P,MATCH($B6,Kontrollmatrise!$A:$A,0)),""))</f>
        <v/>
      </c>
      <c r="H6" s="11">
        <f>IF($B6="","",IFERROR(INDEX(Kontrollmatrise!$O:$O,MATCH($B6,Kontrollmatrise!$A:$A,0)),""))</f>
        <v/>
      </c>
      <c r="I6" s="9" t="n"/>
      <c r="J6" s="9" t="n"/>
      <c r="K6" s="12" t="n"/>
      <c r="L6" s="9" t="n"/>
      <c r="M6" s="9" t="n"/>
    </row>
    <row r="7">
      <c r="A7" s="8" t="inlineStr">
        <is>
          <t>T-006</t>
        </is>
      </c>
      <c r="B7" s="9" t="n"/>
      <c r="C7" s="10">
        <f>IF($B7="","",IFERROR(INDEX(Kontrollmatrise!$L:$L,MATCH($B7,Kontrollmatrise!$A:$A,0)),""))</f>
        <v/>
      </c>
      <c r="D7" s="10">
        <f>IFERROR(INDEX(Kontrollmatrise!$B:$B,MATCH($B7,Kontrollmatrise!$A:$A,0)),"")</f>
        <v/>
      </c>
      <c r="E7" s="10">
        <f>IFERROR(INDEX(Kontrollmatrise!$F:$F,MATCH($B7,Kontrollmatrise!$A:$A,0)),"")</f>
        <v/>
      </c>
      <c r="F7" s="9" t="n"/>
      <c r="G7" s="10">
        <f>IF($B7="","",IFERROR(INDEX(Kontrollmatrise!$P:$P,MATCH($B7,Kontrollmatrise!$A:$A,0)),""))</f>
        <v/>
      </c>
      <c r="H7" s="11">
        <f>IF($B7="","",IFERROR(INDEX(Kontrollmatrise!$O:$O,MATCH($B7,Kontrollmatrise!$A:$A,0)),""))</f>
        <v/>
      </c>
      <c r="I7" s="9" t="n"/>
      <c r="J7" s="9" t="n"/>
      <c r="K7" s="12" t="n"/>
      <c r="L7" s="9" t="n"/>
      <c r="M7" s="9" t="n"/>
    </row>
    <row r="8">
      <c r="A8" s="8" t="inlineStr">
        <is>
          <t>T-007</t>
        </is>
      </c>
      <c r="B8" s="9" t="n"/>
      <c r="C8" s="10">
        <f>IF($B8="","",IFERROR(INDEX(Kontrollmatrise!$L:$L,MATCH($B8,Kontrollmatrise!$A:$A,0)),""))</f>
        <v/>
      </c>
      <c r="D8" s="10">
        <f>IFERROR(INDEX(Kontrollmatrise!$B:$B,MATCH($B8,Kontrollmatrise!$A:$A,0)),"")</f>
        <v/>
      </c>
      <c r="E8" s="10">
        <f>IFERROR(INDEX(Kontrollmatrise!$F:$F,MATCH($B8,Kontrollmatrise!$A:$A,0)),"")</f>
        <v/>
      </c>
      <c r="F8" s="9" t="n"/>
      <c r="G8" s="10">
        <f>IF($B8="","",IFERROR(INDEX(Kontrollmatrise!$P:$P,MATCH($B8,Kontrollmatrise!$A:$A,0)),""))</f>
        <v/>
      </c>
      <c r="H8" s="11">
        <f>IF($B8="","",IFERROR(INDEX(Kontrollmatrise!$O:$O,MATCH($B8,Kontrollmatrise!$A:$A,0)),""))</f>
        <v/>
      </c>
      <c r="I8" s="9" t="n"/>
      <c r="J8" s="9" t="n"/>
      <c r="K8" s="12" t="n"/>
      <c r="L8" s="9" t="n"/>
      <c r="M8" s="9" t="n"/>
    </row>
    <row r="9">
      <c r="A9" s="8" t="inlineStr">
        <is>
          <t>T-008</t>
        </is>
      </c>
      <c r="B9" s="9" t="n"/>
      <c r="C9" s="10">
        <f>IF($B9="","",IFERROR(INDEX(Kontrollmatrise!$L:$L,MATCH($B9,Kontrollmatrise!$A:$A,0)),""))</f>
        <v/>
      </c>
      <c r="D9" s="10">
        <f>IFERROR(INDEX(Kontrollmatrise!$B:$B,MATCH($B9,Kontrollmatrise!$A:$A,0)),"")</f>
        <v/>
      </c>
      <c r="E9" s="10">
        <f>IFERROR(INDEX(Kontrollmatrise!$F:$F,MATCH($B9,Kontrollmatrise!$A:$A,0)),"")</f>
        <v/>
      </c>
      <c r="F9" s="9" t="n"/>
      <c r="G9" s="10">
        <f>IF($B9="","",IFERROR(INDEX(Kontrollmatrise!$P:$P,MATCH($B9,Kontrollmatrise!$A:$A,0)),""))</f>
        <v/>
      </c>
      <c r="H9" s="11">
        <f>IF($B9="","",IFERROR(INDEX(Kontrollmatrise!$O:$O,MATCH($B9,Kontrollmatrise!$A:$A,0)),""))</f>
        <v/>
      </c>
      <c r="I9" s="9" t="n"/>
      <c r="J9" s="9" t="n"/>
      <c r="K9" s="12" t="n"/>
      <c r="L9" s="9" t="n"/>
      <c r="M9" s="9" t="n"/>
    </row>
    <row r="10">
      <c r="A10" s="8" t="inlineStr">
        <is>
          <t>T-009</t>
        </is>
      </c>
      <c r="B10" s="9" t="n"/>
      <c r="C10" s="10">
        <f>IF($B10="","",IFERROR(INDEX(Kontrollmatrise!$L:$L,MATCH($B10,Kontrollmatrise!$A:$A,0)),""))</f>
        <v/>
      </c>
      <c r="D10" s="10">
        <f>IFERROR(INDEX(Kontrollmatrise!$B:$B,MATCH($B10,Kontrollmatrise!$A:$A,0)),"")</f>
        <v/>
      </c>
      <c r="E10" s="10">
        <f>IFERROR(INDEX(Kontrollmatrise!$F:$F,MATCH($B10,Kontrollmatrise!$A:$A,0)),"")</f>
        <v/>
      </c>
      <c r="F10" s="9" t="n"/>
      <c r="G10" s="10">
        <f>IF($B10="","",IFERROR(INDEX(Kontrollmatrise!$P:$P,MATCH($B10,Kontrollmatrise!$A:$A,0)),""))</f>
        <v/>
      </c>
      <c r="H10" s="11">
        <f>IF($B10="","",IFERROR(INDEX(Kontrollmatrise!$O:$O,MATCH($B10,Kontrollmatrise!$A:$A,0)),""))</f>
        <v/>
      </c>
      <c r="I10" s="9" t="n"/>
      <c r="J10" s="9" t="n"/>
      <c r="K10" s="12" t="n"/>
      <c r="L10" s="9" t="n"/>
      <c r="M10" s="9" t="n"/>
    </row>
    <row r="11">
      <c r="A11" s="8" t="inlineStr">
        <is>
          <t>T-010</t>
        </is>
      </c>
      <c r="B11" s="9" t="n"/>
      <c r="C11" s="10">
        <f>IF($B11="","",IFERROR(INDEX(Kontrollmatrise!$L:$L,MATCH($B11,Kontrollmatrise!$A:$A,0)),""))</f>
        <v/>
      </c>
      <c r="D11" s="10">
        <f>IFERROR(INDEX(Kontrollmatrise!$B:$B,MATCH($B11,Kontrollmatrise!$A:$A,0)),"")</f>
        <v/>
      </c>
      <c r="E11" s="10">
        <f>IFERROR(INDEX(Kontrollmatrise!$F:$F,MATCH($B11,Kontrollmatrise!$A:$A,0)),"")</f>
        <v/>
      </c>
      <c r="F11" s="9" t="n"/>
      <c r="G11" s="10">
        <f>IF($B11="","",IFERROR(INDEX(Kontrollmatrise!$P:$P,MATCH($B11,Kontrollmatrise!$A:$A,0)),""))</f>
        <v/>
      </c>
      <c r="H11" s="11">
        <f>IF($B11="","",IFERROR(INDEX(Kontrollmatrise!$O:$O,MATCH($B11,Kontrollmatrise!$A:$A,0)),""))</f>
        <v/>
      </c>
      <c r="I11" s="9" t="n"/>
      <c r="J11" s="9" t="n"/>
      <c r="K11" s="12" t="n"/>
      <c r="L11" s="9" t="n"/>
      <c r="M11" s="9" t="n"/>
    </row>
    <row r="12">
      <c r="A12" s="8" t="inlineStr">
        <is>
          <t>T-011</t>
        </is>
      </c>
      <c r="B12" s="9" t="n"/>
      <c r="C12" s="10">
        <f>IF($B12="","",IFERROR(INDEX(Kontrollmatrise!$L:$L,MATCH($B12,Kontrollmatrise!$A:$A,0)),""))</f>
        <v/>
      </c>
      <c r="D12" s="10">
        <f>IFERROR(INDEX(Kontrollmatrise!$B:$B,MATCH($B12,Kontrollmatrise!$A:$A,0)),"")</f>
        <v/>
      </c>
      <c r="E12" s="10">
        <f>IFERROR(INDEX(Kontrollmatrise!$F:$F,MATCH($B12,Kontrollmatrise!$A:$A,0)),"")</f>
        <v/>
      </c>
      <c r="F12" s="9" t="n"/>
      <c r="G12" s="10">
        <f>IF($B12="","",IFERROR(INDEX(Kontrollmatrise!$P:$P,MATCH($B12,Kontrollmatrise!$A:$A,0)),""))</f>
        <v/>
      </c>
      <c r="H12" s="11">
        <f>IF($B12="","",IFERROR(INDEX(Kontrollmatrise!$O:$O,MATCH($B12,Kontrollmatrise!$A:$A,0)),""))</f>
        <v/>
      </c>
      <c r="I12" s="9" t="n"/>
      <c r="J12" s="9" t="n"/>
      <c r="K12" s="12" t="n"/>
      <c r="L12" s="9" t="n"/>
      <c r="M12" s="9" t="n"/>
    </row>
    <row r="13">
      <c r="A13" s="8" t="inlineStr">
        <is>
          <t>T-012</t>
        </is>
      </c>
      <c r="B13" s="9" t="n"/>
      <c r="C13" s="10">
        <f>IF($B13="","",IFERROR(INDEX(Kontrollmatrise!$L:$L,MATCH($B13,Kontrollmatrise!$A:$A,0)),""))</f>
        <v/>
      </c>
      <c r="D13" s="10">
        <f>IFERROR(INDEX(Kontrollmatrise!$B:$B,MATCH($B13,Kontrollmatrise!$A:$A,0)),"")</f>
        <v/>
      </c>
      <c r="E13" s="10">
        <f>IFERROR(INDEX(Kontrollmatrise!$F:$F,MATCH($B13,Kontrollmatrise!$A:$A,0)),"")</f>
        <v/>
      </c>
      <c r="F13" s="9" t="n"/>
      <c r="G13" s="10">
        <f>IF($B13="","",IFERROR(INDEX(Kontrollmatrise!$P:$P,MATCH($B13,Kontrollmatrise!$A:$A,0)),""))</f>
        <v/>
      </c>
      <c r="H13" s="11">
        <f>IF($B13="","",IFERROR(INDEX(Kontrollmatrise!$O:$O,MATCH($B13,Kontrollmatrise!$A:$A,0)),""))</f>
        <v/>
      </c>
      <c r="I13" s="9" t="n"/>
      <c r="J13" s="9" t="n"/>
      <c r="K13" s="12" t="n"/>
      <c r="L13" s="9" t="n"/>
      <c r="M13" s="9" t="n"/>
    </row>
    <row r="14">
      <c r="A14" s="8" t="inlineStr">
        <is>
          <t>T-013</t>
        </is>
      </c>
      <c r="B14" s="9" t="n"/>
      <c r="C14" s="10">
        <f>IF($B14="","",IFERROR(INDEX(Kontrollmatrise!$L:$L,MATCH($B14,Kontrollmatrise!$A:$A,0)),""))</f>
        <v/>
      </c>
      <c r="D14" s="10">
        <f>IFERROR(INDEX(Kontrollmatrise!$B:$B,MATCH($B14,Kontrollmatrise!$A:$A,0)),"")</f>
        <v/>
      </c>
      <c r="E14" s="10">
        <f>IFERROR(INDEX(Kontrollmatrise!$F:$F,MATCH($B14,Kontrollmatrise!$A:$A,0)),"")</f>
        <v/>
      </c>
      <c r="F14" s="9" t="n"/>
      <c r="G14" s="10">
        <f>IF($B14="","",IFERROR(INDEX(Kontrollmatrise!$P:$P,MATCH($B14,Kontrollmatrise!$A:$A,0)),""))</f>
        <v/>
      </c>
      <c r="H14" s="11">
        <f>IF($B14="","",IFERROR(INDEX(Kontrollmatrise!$O:$O,MATCH($B14,Kontrollmatrise!$A:$A,0)),""))</f>
        <v/>
      </c>
      <c r="I14" s="9" t="n"/>
      <c r="J14" s="9" t="n"/>
      <c r="K14" s="12" t="n"/>
      <c r="L14" s="9" t="n"/>
      <c r="M14" s="9" t="n"/>
    </row>
    <row r="15">
      <c r="A15" s="8" t="inlineStr">
        <is>
          <t>T-014</t>
        </is>
      </c>
      <c r="B15" s="9" t="n"/>
      <c r="C15" s="10">
        <f>IF($B15="","",IFERROR(INDEX(Kontrollmatrise!$L:$L,MATCH($B15,Kontrollmatrise!$A:$A,0)),""))</f>
        <v/>
      </c>
      <c r="D15" s="10">
        <f>IFERROR(INDEX(Kontrollmatrise!$B:$B,MATCH($B15,Kontrollmatrise!$A:$A,0)),"")</f>
        <v/>
      </c>
      <c r="E15" s="10">
        <f>IFERROR(INDEX(Kontrollmatrise!$F:$F,MATCH($B15,Kontrollmatrise!$A:$A,0)),"")</f>
        <v/>
      </c>
      <c r="F15" s="9" t="n"/>
      <c r="G15" s="10">
        <f>IF($B15="","",IFERROR(INDEX(Kontrollmatrise!$P:$P,MATCH($B15,Kontrollmatrise!$A:$A,0)),""))</f>
        <v/>
      </c>
      <c r="H15" s="11">
        <f>IF($B15="","",IFERROR(INDEX(Kontrollmatrise!$O:$O,MATCH($B15,Kontrollmatrise!$A:$A,0)),""))</f>
        <v/>
      </c>
      <c r="I15" s="9" t="n"/>
      <c r="J15" s="9" t="n"/>
      <c r="K15" s="12" t="n"/>
      <c r="L15" s="9" t="n"/>
      <c r="M15" s="9" t="n"/>
    </row>
    <row r="16">
      <c r="A16" s="8" t="inlineStr">
        <is>
          <t>T-015</t>
        </is>
      </c>
      <c r="B16" s="9" t="n"/>
      <c r="C16" s="10">
        <f>IF($B16="","",IFERROR(INDEX(Kontrollmatrise!$L:$L,MATCH($B16,Kontrollmatrise!$A:$A,0)),""))</f>
        <v/>
      </c>
      <c r="D16" s="10">
        <f>IFERROR(INDEX(Kontrollmatrise!$B:$B,MATCH($B16,Kontrollmatrise!$A:$A,0)),"")</f>
        <v/>
      </c>
      <c r="E16" s="10">
        <f>IFERROR(INDEX(Kontrollmatrise!$F:$F,MATCH($B16,Kontrollmatrise!$A:$A,0)),"")</f>
        <v/>
      </c>
      <c r="F16" s="9" t="n"/>
      <c r="G16" s="10">
        <f>IF($B16="","",IFERROR(INDEX(Kontrollmatrise!$P:$P,MATCH($B16,Kontrollmatrise!$A:$A,0)),""))</f>
        <v/>
      </c>
      <c r="H16" s="11">
        <f>IF($B16="","",IFERROR(INDEX(Kontrollmatrise!$O:$O,MATCH($B16,Kontrollmatrise!$A:$A,0)),""))</f>
        <v/>
      </c>
      <c r="I16" s="9" t="n"/>
      <c r="J16" s="9" t="n"/>
      <c r="K16" s="12" t="n"/>
      <c r="L16" s="9" t="n"/>
      <c r="M16" s="9" t="n"/>
    </row>
    <row r="17">
      <c r="A17" s="8" t="inlineStr">
        <is>
          <t>T-016</t>
        </is>
      </c>
      <c r="B17" s="9" t="n"/>
      <c r="C17" s="10">
        <f>IF($B17="","",IFERROR(INDEX(Kontrollmatrise!$L:$L,MATCH($B17,Kontrollmatrise!$A:$A,0)),""))</f>
        <v/>
      </c>
      <c r="D17" s="10">
        <f>IFERROR(INDEX(Kontrollmatrise!$B:$B,MATCH($B17,Kontrollmatrise!$A:$A,0)),"")</f>
        <v/>
      </c>
      <c r="E17" s="10">
        <f>IFERROR(INDEX(Kontrollmatrise!$F:$F,MATCH($B17,Kontrollmatrise!$A:$A,0)),"")</f>
        <v/>
      </c>
      <c r="F17" s="9" t="n"/>
      <c r="G17" s="10">
        <f>IF($B17="","",IFERROR(INDEX(Kontrollmatrise!$P:$P,MATCH($B17,Kontrollmatrise!$A:$A,0)),""))</f>
        <v/>
      </c>
      <c r="H17" s="11">
        <f>IF($B17="","",IFERROR(INDEX(Kontrollmatrise!$O:$O,MATCH($B17,Kontrollmatrise!$A:$A,0)),""))</f>
        <v/>
      </c>
      <c r="I17" s="9" t="n"/>
      <c r="J17" s="9" t="n"/>
      <c r="K17" s="12" t="n"/>
      <c r="L17" s="9" t="n"/>
      <c r="M17" s="9" t="n"/>
    </row>
    <row r="18">
      <c r="A18" s="8" t="inlineStr">
        <is>
          <t>T-017</t>
        </is>
      </c>
      <c r="B18" s="9" t="n"/>
      <c r="C18" s="10">
        <f>IF($B18="","",IFERROR(INDEX(Kontrollmatrise!$L:$L,MATCH($B18,Kontrollmatrise!$A:$A,0)),""))</f>
        <v/>
      </c>
      <c r="D18" s="10">
        <f>IFERROR(INDEX(Kontrollmatrise!$B:$B,MATCH($B18,Kontrollmatrise!$A:$A,0)),"")</f>
        <v/>
      </c>
      <c r="E18" s="10">
        <f>IFERROR(INDEX(Kontrollmatrise!$F:$F,MATCH($B18,Kontrollmatrise!$A:$A,0)),"")</f>
        <v/>
      </c>
      <c r="F18" s="9" t="n"/>
      <c r="G18" s="10">
        <f>IF($B18="","",IFERROR(INDEX(Kontrollmatrise!$P:$P,MATCH($B18,Kontrollmatrise!$A:$A,0)),""))</f>
        <v/>
      </c>
      <c r="H18" s="11">
        <f>IF($B18="","",IFERROR(INDEX(Kontrollmatrise!$O:$O,MATCH($B18,Kontrollmatrise!$A:$A,0)),""))</f>
        <v/>
      </c>
      <c r="I18" s="9" t="n"/>
      <c r="J18" s="9" t="n"/>
      <c r="K18" s="12" t="n"/>
      <c r="L18" s="9" t="n"/>
      <c r="M18" s="9" t="n"/>
    </row>
    <row r="19">
      <c r="A19" s="8" t="inlineStr">
        <is>
          <t>T-018</t>
        </is>
      </c>
      <c r="B19" s="9" t="n"/>
      <c r="C19" s="10">
        <f>IF($B19="","",IFERROR(INDEX(Kontrollmatrise!$L:$L,MATCH($B19,Kontrollmatrise!$A:$A,0)),""))</f>
        <v/>
      </c>
      <c r="D19" s="10">
        <f>IFERROR(INDEX(Kontrollmatrise!$B:$B,MATCH($B19,Kontrollmatrise!$A:$A,0)),"")</f>
        <v/>
      </c>
      <c r="E19" s="10">
        <f>IFERROR(INDEX(Kontrollmatrise!$F:$F,MATCH($B19,Kontrollmatrise!$A:$A,0)),"")</f>
        <v/>
      </c>
      <c r="F19" s="9" t="n"/>
      <c r="G19" s="10">
        <f>IF($B19="","",IFERROR(INDEX(Kontrollmatrise!$P:$P,MATCH($B19,Kontrollmatrise!$A:$A,0)),""))</f>
        <v/>
      </c>
      <c r="H19" s="11">
        <f>IF($B19="","",IFERROR(INDEX(Kontrollmatrise!$O:$O,MATCH($B19,Kontrollmatrise!$A:$A,0)),""))</f>
        <v/>
      </c>
      <c r="I19" s="9" t="n"/>
      <c r="J19" s="9" t="n"/>
      <c r="K19" s="12" t="n"/>
      <c r="L19" s="9" t="n"/>
      <c r="M19" s="9" t="n"/>
    </row>
    <row r="20">
      <c r="A20" s="8" t="inlineStr">
        <is>
          <t>T-019</t>
        </is>
      </c>
      <c r="B20" s="9" t="n"/>
      <c r="C20" s="10">
        <f>IF($B20="","",IFERROR(INDEX(Kontrollmatrise!$L:$L,MATCH($B20,Kontrollmatrise!$A:$A,0)),""))</f>
        <v/>
      </c>
      <c r="D20" s="10">
        <f>IFERROR(INDEX(Kontrollmatrise!$B:$B,MATCH($B20,Kontrollmatrise!$A:$A,0)),"")</f>
        <v/>
      </c>
      <c r="E20" s="10">
        <f>IFERROR(INDEX(Kontrollmatrise!$F:$F,MATCH($B20,Kontrollmatrise!$A:$A,0)),"")</f>
        <v/>
      </c>
      <c r="F20" s="9" t="n"/>
      <c r="G20" s="10">
        <f>IF($B20="","",IFERROR(INDEX(Kontrollmatrise!$P:$P,MATCH($B20,Kontrollmatrise!$A:$A,0)),""))</f>
        <v/>
      </c>
      <c r="H20" s="11">
        <f>IF($B20="","",IFERROR(INDEX(Kontrollmatrise!$O:$O,MATCH($B20,Kontrollmatrise!$A:$A,0)),""))</f>
        <v/>
      </c>
      <c r="I20" s="9" t="n"/>
      <c r="J20" s="9" t="n"/>
      <c r="K20" s="12" t="n"/>
      <c r="L20" s="9" t="n"/>
      <c r="M20" s="9" t="n"/>
    </row>
    <row r="21">
      <c r="A21" s="8" t="inlineStr">
        <is>
          <t>T-020</t>
        </is>
      </c>
      <c r="B21" s="9" t="n"/>
      <c r="C21" s="10">
        <f>IF($B21="","",IFERROR(INDEX(Kontrollmatrise!$L:$L,MATCH($B21,Kontrollmatrise!$A:$A,0)),""))</f>
        <v/>
      </c>
      <c r="D21" s="10">
        <f>IFERROR(INDEX(Kontrollmatrise!$B:$B,MATCH($B21,Kontrollmatrise!$A:$A,0)),"")</f>
        <v/>
      </c>
      <c r="E21" s="10">
        <f>IFERROR(INDEX(Kontrollmatrise!$F:$F,MATCH($B21,Kontrollmatrise!$A:$A,0)),"")</f>
        <v/>
      </c>
      <c r="F21" s="9" t="n"/>
      <c r="G21" s="10">
        <f>IF($B21="","",IFERROR(INDEX(Kontrollmatrise!$P:$P,MATCH($B21,Kontrollmatrise!$A:$A,0)),""))</f>
        <v/>
      </c>
      <c r="H21" s="11">
        <f>IF($B21="","",IFERROR(INDEX(Kontrollmatrise!$O:$O,MATCH($B21,Kontrollmatrise!$A:$A,0)),""))</f>
        <v/>
      </c>
      <c r="I21" s="9" t="n"/>
      <c r="J21" s="9" t="n"/>
      <c r="K21" s="12" t="n"/>
      <c r="L21" s="9" t="n"/>
      <c r="M21" s="9" t="n"/>
    </row>
  </sheetData>
  <conditionalFormatting sqref="G2:G21">
    <cfRule type="expression" priority="1" dxfId="3">
      <formula>AND($G2&lt;TODAY(),$G2&lt;&gt;"",$I2&lt;&gt;"Lukket")</formula>
    </cfRule>
  </conditionalFormatting>
  <conditionalFormatting sqref="I2:I21">
    <cfRule type="expression" priority="2" dxfId="4">
      <formula>$I2="Lukket"</formula>
    </cfRule>
  </conditionalFormatting>
  <conditionalFormatting sqref="H2:H21">
    <cfRule type="expression" priority="3" dxfId="5">
      <formula>$H2="Høy"</formula>
    </cfRule>
  </conditionalFormatting>
  <conditionalFormatting sqref="C2:C21">
    <cfRule type="expression" priority="4" dxfId="0">
      <formula>$C2="OK"</formula>
    </cfRule>
    <cfRule type="expression" priority="5" dxfId="1">
      <formula>$C2="Avvik"</formula>
    </cfRule>
    <cfRule type="expression" priority="6" dxfId="2">
      <formula>$C2="Tiltak pågår"</formula>
    </cfRule>
    <cfRule type="expression" priority="7" dxfId="6">
      <formula>$C2="Ikke vurdert"</formula>
    </cfRule>
    <cfRule type="expression" priority="8" dxfId="7">
      <formula>$C2="Ikke relevant"</formula>
    </cfRule>
  </conditionalFormatting>
  <dataValidations count="3">
    <dataValidation sqref="H2:H21" showDropDown="0" showInputMessage="0" showErrorMessage="0" allowBlank="1" type="list">
      <formula1>"Høy,Middels,Lav"</formula1>
    </dataValidation>
    <dataValidation sqref="I2:I21" showDropDown="0" showInputMessage="0" showErrorMessage="0" allowBlank="1" type="list">
      <formula1>"Ikke startet,Pågår,Avventer,Lukket"</formula1>
    </dataValidation>
    <dataValidation sqref="B2:B21" showDropDown="0" showInputMessage="0" showErrorMessage="0" allowBlank="1" type="list">
      <formula1>='Kontrollmatrise'!$A$2:$A$21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UiA økonomi – kontrollmatrise</t>
        </is>
      </c>
      <c r="B1" s="2" t="inlineStr">
        <is>
          <t>Arbeidsverktøy for internkontroll og videre detaljering.</t>
        </is>
      </c>
    </row>
    <row r="2">
      <c r="A2" s="4" t="inlineStr">
        <is>
          <t>Bruk</t>
        </is>
      </c>
      <c r="B2" s="2" t="inlineStr">
        <is>
          <t>Filtrer på prosess, status eller ansvarlig rolle. Oppdater Status og Merknad ved kontrollgjennomføring.</t>
        </is>
      </c>
    </row>
    <row r="3">
      <c r="A3" s="4" t="inlineStr">
        <is>
          <t>Avgrensning</t>
        </is>
      </c>
      <c r="B3" s="2" t="inlineStr">
        <is>
          <t>Kontrollpunktene er operasjonaliseringer for internkontroll. De er ikke juridiske konklusjoner og matrisen må suppleres med konkrete eksterne regler og lokale rutiner der relevant.</t>
        </is>
      </c>
    </row>
    <row r="4">
      <c r="A4" s="4" t="inlineStr">
        <is>
          <t>Kildegrunnlag</t>
        </is>
      </c>
      <c r="B4" s="2" t="inlineStr">
        <is>
          <t>UiAs interne hovedregler 2026, UiAs side om fullmakter og roller og UiAs økonomi- og budsjettsider.</t>
        </is>
      </c>
    </row>
    <row r="5">
      <c r="A5" s="4" t="inlineStr">
        <is>
          <t>Statusverdier</t>
        </is>
      </c>
      <c r="B5" s="2" t="inlineStr">
        <is>
          <t>Ikke vurdert | OK | Avvik | Ikke relevant | Tiltak pågår</t>
        </is>
      </c>
    </row>
    <row r="7">
      <c r="A7" s="4" t="inlineStr">
        <is>
          <t>Statuskobling</t>
        </is>
      </c>
      <c r="B7" s="2" t="inlineStr">
        <is>
          <t>Kontrollstatus i Tiltaksoppfølging hentes automatisk fra Status i Kontrollmatrise basert på KRAV_ID. Endre Status i Kontrollmatrise for å oppdatere oppfølgingsfanen.</t>
        </is>
      </c>
    </row>
    <row r="8">
      <c r="A8" s="2" t="inlineStr">
        <is>
          <t>Frist: dato for når et tiltak skal være gjennomført. Tiltakseier: rollen/personen som eier oppfølgingen av tiltaket.</t>
        </is>
      </c>
    </row>
    <row r="10">
      <c r="A10" s="13" t="inlineStr">
        <is>
          <t>Tiltaksoppfølging</t>
        </is>
      </c>
      <c r="B10" s="2" t="inlineStr">
        <is>
          <t>Egen fane for oppfølging av avvik og tiltak. Angi KRAV_ID for å hente prosess, kontrollpunkt, tiltakseier og frist fra kontrollmatrisen. Tiltak, prioritet, status og oppfølgingskommentar fylles ut i fanen.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2026-10-03T14:08:57.8621517Z</dcterms:created>
  <dcterms:modified xsi:type="dcterms:W3CDTF">2026-10-03T14:08:57.8621517Z</dcterms:modified>
  <lastModifiedBy>M365 Copilot</lastModifiedBy>
</coreProperties>
</file>