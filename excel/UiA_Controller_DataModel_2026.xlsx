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frank\Desktop\UIA-Controller\excel\"/>
    </mc:Choice>
  </mc:AlternateContent>
  <xr:revisionPtr revIDLastSave="0" documentId="13_ncr:1_{120EA5AC-EC59-46B1-BF77-E92D53CF9FF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06_Sammendrag" sheetId="15" r:id="rId1"/>
    <sheet name="00_Navigasjon_Arkitektur" sheetId="1" r:id="rId2"/>
    <sheet name="01_Executive_Cockpit" sheetId="2" r:id="rId3"/>
    <sheet name="02_EVM_Prosjektkontroll" sheetId="3" r:id="rId4"/>
    <sheet name="03_S_Kurve_Tidsserie" sheetId="4" r:id="rId5"/>
    <sheet name="04_F05_20_Avsetningskalkyle" sheetId="5" r:id="rId6"/>
    <sheet name="05_Compliance_Internkontroll" sheetId="6" r:id="rId7"/>
    <sheet name="Dim_Project" sheetId="7" r:id="rId8"/>
    <sheet name="Dim_Date" sheetId="8" r:id="rId9"/>
    <sheet name="Dim_Model_Parameter" sheetId="9" r:id="rId10"/>
    <sheet name="Fact_EVM_Snapshots" sheetId="10" r:id="rId11"/>
    <sheet name="Fact_UBW_Audit" sheetId="11" r:id="rId12"/>
    <sheet name="Fact_Travel_Audit" sheetId="12" r:id="rId13"/>
    <sheet name="Fact_Project_BOA" sheetId="13" r:id="rId14"/>
    <sheet name="Dim_Kontoplan_2026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15" l="1"/>
  <c r="H29" i="15"/>
  <c r="F29" i="15"/>
  <c r="D29" i="15"/>
  <c r="B29" i="15"/>
  <c r="A29" i="15"/>
  <c r="J28" i="15"/>
  <c r="H28" i="15"/>
  <c r="F28" i="15"/>
  <c r="D28" i="15"/>
  <c r="B28" i="15"/>
  <c r="A28" i="15"/>
  <c r="J27" i="15"/>
  <c r="H27" i="15"/>
  <c r="F27" i="15"/>
  <c r="D27" i="15"/>
  <c r="B27" i="15"/>
  <c r="A27" i="15"/>
  <c r="J26" i="15"/>
  <c r="H26" i="15"/>
  <c r="F26" i="15"/>
  <c r="D26" i="15"/>
  <c r="B26" i="15"/>
  <c r="A26" i="15"/>
  <c r="J25" i="15"/>
  <c r="H25" i="15"/>
  <c r="F25" i="15"/>
  <c r="D25" i="15"/>
  <c r="B25" i="15"/>
  <c r="A25" i="15"/>
  <c r="E20" i="15"/>
  <c r="D20" i="15"/>
  <c r="B20" i="15"/>
  <c r="E19" i="15"/>
  <c r="D19" i="15"/>
  <c r="B19" i="15"/>
  <c r="E18" i="15"/>
  <c r="D18" i="15"/>
  <c r="C18" i="15"/>
  <c r="B18" i="15"/>
  <c r="E17" i="15"/>
  <c r="D17" i="15"/>
  <c r="C17" i="15"/>
  <c r="B17" i="15"/>
  <c r="D12" i="15"/>
  <c r="D11" i="15"/>
  <c r="D10" i="15"/>
  <c r="C12" i="15"/>
  <c r="C11" i="15"/>
  <c r="C10" i="15"/>
  <c r="B12" i="15"/>
  <c r="B11" i="15"/>
  <c r="B10" i="15"/>
  <c r="I5" i="15"/>
  <c r="G5" i="15"/>
  <c r="E5" i="15"/>
  <c r="C5" i="15"/>
  <c r="A5" i="15"/>
  <c r="I6" i="11"/>
  <c r="I5" i="11"/>
  <c r="I4" i="11"/>
  <c r="I3" i="11"/>
  <c r="I2" i="11"/>
  <c r="H27" i="6"/>
  <c r="E27" i="6"/>
  <c r="D7" i="6"/>
  <c r="C7" i="6"/>
  <c r="D6" i="6"/>
  <c r="D8" i="6" s="1"/>
  <c r="C6" i="6"/>
  <c r="C8" i="6" s="1"/>
  <c r="B21" i="5"/>
  <c r="C18" i="5"/>
  <c r="B22" i="5" s="1"/>
  <c r="C22" i="5" s="1"/>
  <c r="B9" i="5"/>
  <c r="C9" i="5" s="1"/>
  <c r="B14" i="2" s="1"/>
  <c r="C8" i="5"/>
  <c r="C7" i="5"/>
  <c r="B7" i="5"/>
  <c r="I14" i="4"/>
  <c r="H14" i="4"/>
  <c r="G14" i="4"/>
  <c r="F14" i="4"/>
  <c r="I13" i="4"/>
  <c r="H13" i="4"/>
  <c r="G13" i="4"/>
  <c r="F13" i="4"/>
  <c r="I12" i="4"/>
  <c r="H12" i="4"/>
  <c r="G12" i="4"/>
  <c r="F12" i="4"/>
  <c r="I11" i="4"/>
  <c r="H11" i="4"/>
  <c r="G11" i="4"/>
  <c r="F11" i="4"/>
  <c r="I10" i="4"/>
  <c r="H10" i="4"/>
  <c r="G10" i="4"/>
  <c r="F10" i="4"/>
  <c r="I9" i="4"/>
  <c r="H9" i="4"/>
  <c r="G9" i="4"/>
  <c r="F9" i="4"/>
  <c r="I8" i="4"/>
  <c r="H8" i="4"/>
  <c r="G8" i="4"/>
  <c r="F8" i="4"/>
  <c r="I7" i="4"/>
  <c r="H7" i="4"/>
  <c r="G7" i="4"/>
  <c r="F7" i="4"/>
  <c r="I6" i="4"/>
  <c r="H6" i="4"/>
  <c r="G6" i="4"/>
  <c r="F6" i="4"/>
  <c r="I5" i="4"/>
  <c r="H5" i="4"/>
  <c r="G5" i="4"/>
  <c r="F5" i="4"/>
  <c r="F14" i="3"/>
  <c r="B7" i="2" s="1"/>
  <c r="E14" i="3"/>
  <c r="D14" i="3"/>
  <c r="C8" i="2" s="1"/>
  <c r="C14" i="3"/>
  <c r="Q13" i="3"/>
  <c r="J13" i="3"/>
  <c r="I13" i="3"/>
  <c r="H13" i="3"/>
  <c r="G13" i="3"/>
  <c r="Q12" i="3"/>
  <c r="J12" i="3"/>
  <c r="I12" i="3"/>
  <c r="H12" i="3"/>
  <c r="G12" i="3"/>
  <c r="Q11" i="3"/>
  <c r="J11" i="3"/>
  <c r="I11" i="3"/>
  <c r="H11" i="3"/>
  <c r="G11" i="3"/>
  <c r="Q10" i="3"/>
  <c r="J10" i="3"/>
  <c r="I10" i="3"/>
  <c r="H10" i="3"/>
  <c r="G10" i="3"/>
  <c r="Q9" i="3"/>
  <c r="M9" i="3"/>
  <c r="J9" i="3"/>
  <c r="I9" i="3"/>
  <c r="H9" i="3"/>
  <c r="G9" i="3"/>
  <c r="Q8" i="3"/>
  <c r="J8" i="3"/>
  <c r="I8" i="3"/>
  <c r="H8" i="3"/>
  <c r="G8" i="3"/>
  <c r="Q7" i="3"/>
  <c r="J7" i="3"/>
  <c r="I7" i="3"/>
  <c r="H7" i="3"/>
  <c r="G7" i="3"/>
  <c r="Q6" i="3"/>
  <c r="J6" i="3"/>
  <c r="I6" i="3"/>
  <c r="H6" i="3"/>
  <c r="G6" i="3"/>
  <c r="Q5" i="3"/>
  <c r="J5" i="3"/>
  <c r="I5" i="3"/>
  <c r="H5" i="3"/>
  <c r="G5" i="3"/>
  <c r="B15" i="2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B23" i="5" l="1"/>
  <c r="C21" i="5"/>
  <c r="J14" i="3"/>
  <c r="B11" i="2" s="1"/>
  <c r="D11" i="2" s="1"/>
  <c r="I14" i="3"/>
  <c r="B10" i="2" s="1"/>
  <c r="D10" i="2" s="1"/>
  <c r="G14" i="3"/>
  <c r="B9" i="2" s="1"/>
  <c r="D9" i="2" s="1"/>
  <c r="B8" i="2"/>
  <c r="H14" i="3"/>
  <c r="Q14" i="3"/>
  <c r="C12" i="2"/>
  <c r="B6" i="2"/>
  <c r="L13" i="3"/>
  <c r="N13" i="3" s="1"/>
  <c r="K13" i="3"/>
  <c r="M13" i="3"/>
  <c r="M12" i="3"/>
  <c r="K12" i="3"/>
  <c r="L12" i="3"/>
  <c r="N12" i="3" s="1"/>
  <c r="M11" i="3"/>
  <c r="L11" i="3"/>
  <c r="N11" i="3" s="1"/>
  <c r="K11" i="3"/>
  <c r="M10" i="3"/>
  <c r="K10" i="3"/>
  <c r="L10" i="3"/>
  <c r="N10" i="3" s="1"/>
  <c r="L9" i="3"/>
  <c r="N9" i="3" s="1"/>
  <c r="K9" i="3"/>
  <c r="M8" i="3"/>
  <c r="L8" i="3"/>
  <c r="N8" i="3" s="1"/>
  <c r="K8" i="3"/>
  <c r="K7" i="3"/>
  <c r="M7" i="3"/>
  <c r="L7" i="3"/>
  <c r="N7" i="3" s="1"/>
  <c r="M6" i="3"/>
  <c r="L6" i="3"/>
  <c r="N6" i="3" s="1"/>
  <c r="K6" i="3"/>
  <c r="L5" i="3"/>
  <c r="M5" i="3"/>
  <c r="K5" i="3"/>
  <c r="K14" i="3" s="1"/>
  <c r="C23" i="5" l="1"/>
  <c r="B24" i="5"/>
  <c r="C24" i="5" s="1"/>
  <c r="B25" i="5"/>
  <c r="O13" i="3"/>
  <c r="R13" i="3" s="1"/>
  <c r="P13" i="3"/>
  <c r="P12" i="3"/>
  <c r="O12" i="3"/>
  <c r="R12" i="3" s="1"/>
  <c r="O11" i="3"/>
  <c r="R11" i="3" s="1"/>
  <c r="P11" i="3"/>
  <c r="O10" i="3"/>
  <c r="R10" i="3" s="1"/>
  <c r="P10" i="3"/>
  <c r="O9" i="3"/>
  <c r="R9" i="3" s="1"/>
  <c r="P9" i="3"/>
  <c r="O8" i="3"/>
  <c r="R8" i="3" s="1"/>
  <c r="P8" i="3"/>
  <c r="O7" i="3"/>
  <c r="R7" i="3" s="1"/>
  <c r="P7" i="3"/>
  <c r="O6" i="3"/>
  <c r="R6" i="3" s="1"/>
  <c r="P6" i="3"/>
  <c r="L14" i="3"/>
  <c r="N5" i="3"/>
  <c r="M14" i="3"/>
  <c r="O5" i="3" l="1"/>
  <c r="R5" i="3" s="1"/>
  <c r="P5" i="3"/>
  <c r="N14" i="3"/>
  <c r="O14" i="3" l="1"/>
  <c r="B13" i="2" s="1"/>
  <c r="D13" i="2" s="1"/>
  <c r="P14" i="3"/>
  <c r="B12" i="2"/>
</calcChain>
</file>

<file path=xl/sharedStrings.xml><?xml version="1.0" encoding="utf-8"?>
<sst xmlns="http://schemas.openxmlformats.org/spreadsheetml/2006/main" count="2163" uniqueCount="965">
  <si>
    <t>UiA Handelshøyskolen — Enterprise Financial Controlling &amp; EVM Data Model</t>
  </si>
  <si>
    <t>Regnskapsår: 2026 | Modellversjon: v12 Canonical | Ansvarlig: Frank Ellingsen (Lead Project Controller)</t>
  </si>
  <si>
    <t>System- &amp; Integrasjonsparametere</t>
  </si>
  <si>
    <t>Parameter / Konfigurasjon</t>
  </si>
  <si>
    <t>Verdi / Status</t>
  </si>
  <si>
    <t>Teknisk Kilde</t>
  </si>
  <si>
    <t>Beskrivelse</t>
  </si>
  <si>
    <t>Datamodell Arkitektur</t>
  </si>
  <si>
    <t>Stjerneskjema (Star Schema 1:N / M:N)</t>
  </si>
  <si>
    <t>Parquet / DuckDB / SQLite</t>
  </si>
  <si>
    <t>Relasjonell modell for dimensjoner og faktatabeller</t>
  </si>
  <si>
    <t>Transaksjonsdatabase</t>
  </si>
  <si>
    <t>SQLite (projects.db)</t>
  </si>
  <si>
    <t>ubw_transactions &amp; evm_projects</t>
  </si>
  <si>
    <t>Operasjonell registrering av prosjektdata og hovedboksposter</t>
  </si>
  <si>
    <t>Analytisk Tidsrekke-motor</t>
  </si>
  <si>
    <t>DuckDB (analytics_snapshots.duckdb)</t>
  </si>
  <si>
    <t>evm_snapshots</t>
  </si>
  <si>
    <t>Tidsstempling og historiske snapshots for prosjektporteføljen</t>
  </si>
  <si>
    <t>Regelverksstandarder</t>
  </si>
  <si>
    <t>Statens Kontoplan (R-102) &amp; KD F-05-20</t>
  </si>
  <si>
    <t>SRS / DFØ Veiledere</t>
  </si>
  <si>
    <t>5,0 % overføringstak og 4-øyne attestasjonskrav</t>
  </si>
  <si>
    <t>Basis Rammebevilgning (Kap. 260)</t>
  </si>
  <si>
    <t>Statsbudsjettet Prop. 1 S</t>
  </si>
  <si>
    <t>Årlig tildelt grunnbevilgning for universitetet</t>
  </si>
  <si>
    <t>Statlig Lønns- og Prisvekst (Deflator)</t>
  </si>
  <si>
    <t>Finansdepartementet RNB</t>
  </si>
  <si>
    <t>Budsjettmessig justeringsfaktor for 2026</t>
  </si>
  <si>
    <t>Power BI Integrasjon</t>
  </si>
  <si>
    <t>Controller project.pbip (TMDL 1606)</t>
  </si>
  <si>
    <t>Power BI Desktop DevMode</t>
  </si>
  <si>
    <t>Direkte synkronisering med Parquet staging filer</t>
  </si>
  <si>
    <t>Arbeidsbokens Innholdsfortegnelse &amp; Hurtignavigasjon</t>
  </si>
  <si>
    <t>Fane Navn</t>
  </si>
  <si>
    <t>Område</t>
  </si>
  <si>
    <t>Innhold &amp; Funksjonalitet</t>
  </si>
  <si>
    <t>Hyperlenke</t>
  </si>
  <si>
    <t>01_Executive_Cockpit</t>
  </si>
  <si>
    <t>Ledelse</t>
  </si>
  <si>
    <t>Hoveddashboard med KPI-kort, dynamisk EAC-velger og tiltaksplan</t>
  </si>
  <si>
    <t>02_EVM_Prosjektkontroll</t>
  </si>
  <si>
    <t>Prosjektstyring</t>
  </si>
  <si>
    <t>Prosjekt-for-prosjekt EVM analyse med CPI, SPI, EAC-modeller og TCPI</t>
  </si>
  <si>
    <t>03_S_Kurve_Tidsserie</t>
  </si>
  <si>
    <t>Tidsserier</t>
  </si>
  <si>
    <t>Månedlig kumulativ PV/EV/AC historikk og visuell S-kurve for 2026</t>
  </si>
  <si>
    <t>04_F05_20_Avsetningskalkyle</t>
  </si>
  <si>
    <t>Statlig Regelverk</t>
  </si>
  <si>
    <t>5 % driftsavsetningstak, 12M NOK overskridelse og interaktiv tiltakssimulator</t>
  </si>
  <si>
    <t>05_Compliance_Internkontroll</t>
  </si>
  <si>
    <t>Revisjon</t>
  </si>
  <si>
    <t>DFØ reiseregningskontroll og UBW hovedboksrevisjon med sperreflagg</t>
  </si>
  <si>
    <t>Dim_Project</t>
  </si>
  <si>
    <t>Datamodell</t>
  </si>
  <si>
    <t>Prosjekt-stamdata og autoriserte budsjettrammer (tbl_Dim_Project)</t>
  </si>
  <si>
    <t>Dim_Date</t>
  </si>
  <si>
    <t>Dato- og periodekalender for 2026 (tbl_Dim_Date)</t>
  </si>
  <si>
    <t>Dim_Model_Parameter</t>
  </si>
  <si>
    <t>Parametertabell for EAC-framskrivingsmodeller (tbl_Dim_Parameters)</t>
  </si>
  <si>
    <t>Fact_EVM_Snapshots</t>
  </si>
  <si>
    <t>Historiske EVM månedssnapshots fra DuckDB (tbl_Fact_EVM)</t>
  </si>
  <si>
    <t>Fact_UBW_Audit</t>
  </si>
  <si>
    <t>UBW hovedboksposteringer med automatiserte kontrollflagg (tbl_Fact_UBW)</t>
  </si>
  <si>
    <t>Fact_Travel_Audit</t>
  </si>
  <si>
    <t>15 DFØ reiseregninger med atestasjons- og måltidskontroll (tbl_Fact_Travel)</t>
  </si>
  <si>
    <t>Fact_Project_BOA</t>
  </si>
  <si>
    <t>Bidrags- og oppdragsforskning (NFR, EU, Oppdrag) med overhead (tbl_Fact_BOA)</t>
  </si>
  <si>
    <t>Dim_Kontoplan_2026</t>
  </si>
  <si>
    <t>Statens Standard Kontoplan (R-102) med SRS-koblinger (tbl_Dim_Kontoplan)</t>
  </si>
  <si>
    <t>Executive Project Controlling Cockpit</t>
  </si>
  <si>
    <t>Overordnet ledelsesrapport for Fakultetsdirektør og Dekan | Rapporteringsmåned: 2026-M10</t>
  </si>
  <si>
    <t>Kritiske Styrings-KPI-er (Dynamisk aggregert fra prosjektmodellen)</t>
  </si>
  <si>
    <t>Nøkkeltall / Dimensjon</t>
  </si>
  <si>
    <t>Verdi</t>
  </si>
  <si>
    <t>Mål / Grense</t>
  </si>
  <si>
    <t>Avvik / Status</t>
  </si>
  <si>
    <t>Formell Forklaring</t>
  </si>
  <si>
    <t>Total Portefølje BAC</t>
  </si>
  <si>
    <t>I rute</t>
  </si>
  <si>
    <t>Samlet godkjent budsjettramme ved ferdigstillelse</t>
  </si>
  <si>
    <t>Påløpte Kostnader (AC)</t>
  </si>
  <si>
    <t>Merforbruk</t>
  </si>
  <si>
    <t>Faktiske kostnader bokført i Unit4/UBW per M10</t>
  </si>
  <si>
    <t>Opptjent Verdi (EV)</t>
  </si>
  <si>
    <t>Fremdriftsavvik</t>
  </si>
  <si>
    <t>Fysisk fremdrift multiplisert med BAC</t>
  </si>
  <si>
    <t>Kostnadsavvik (CV NOK)</t>
  </si>
  <si>
    <t>Netto monetært kostnadsavvik (EV - AC)</t>
  </si>
  <si>
    <t>Portefølje CPI (Kostnad)</t>
  </si>
  <si>
    <t>Kostnadseffektivitetsindeks (EV / AC)</t>
  </si>
  <si>
    <t>Portefølje SPI (Fremdrift)</t>
  </si>
  <si>
    <t>Fremdriftsindeks (EV / PV)</t>
  </si>
  <si>
    <t>Sluttkostnad (EAC Valgt Modell)</t>
  </si>
  <si>
    <t>Projisert Sluttkostnad</t>
  </si>
  <si>
    <t>Dynamisk prognose basert på valgt EAC-modell</t>
  </si>
  <si>
    <t>Sluttavvik (VAC Valgt Modell)</t>
  </si>
  <si>
    <t>Forventet avvik ved fullførelse (BAC - EAC)</t>
  </si>
  <si>
    <t>Statlig Driftsavsetning (F-05-20)</t>
  </si>
  <si>
    <t>DISPENSASJON PÅKREVD</t>
  </si>
  <si>
    <t>6,0 % avsetning overstiger 5,0 % lovfestet tak (+12M NOK)</t>
  </si>
  <si>
    <t>DFØ Reiseregninger Flagg</t>
  </si>
  <si>
    <t>7 Saker Flagget</t>
  </si>
  <si>
    <t>7 av 15 reiseregninger flagget for atestasjonsbrudd (Unit4 sperret)</t>
  </si>
  <si>
    <t>Interaktiv Framskrivingsmodell Slicer (Endre cellen under for å oppdatere EAC-beregninger)</t>
  </si>
  <si>
    <t>Aktiv EAC Modell:</t>
  </si>
  <si>
    <t>COMPOSITE</t>
  </si>
  <si>
    <t>Valgbare verdier: 'CPI' | 'COMPOSITE' | 'WEIGHTED' (Se 'Dim_Model_Parameter' for detaljer)</t>
  </si>
  <si>
    <t>Strategisk Ledelses- og Tiltaksplan</t>
  </si>
  <si>
    <t>Prio</t>
  </si>
  <si>
    <t>Styringsområde</t>
  </si>
  <si>
    <t>Identifisert Risiko / Avvik</t>
  </si>
  <si>
    <t>Besluttet Ledelsestiltak</t>
  </si>
  <si>
    <t>Ansvarlig</t>
  </si>
  <si>
    <t>Frist</t>
  </si>
  <si>
    <t>P1</t>
  </si>
  <si>
    <t>F-05-20 Avsetningskontroll</t>
  </si>
  <si>
    <t>12,0 MNOK akkumulert over 5 % taket per M10 (inndragningsfare fra KD)</t>
  </si>
  <si>
    <t>Iverksett tiltakskort T1-T4 (9M NOK) + send dispensasjonssøknad for resterende 3M NOK</t>
  </si>
  <si>
    <t>Universitetsdirektør / Dekan</t>
  </si>
  <si>
    <t>15.11.2026</t>
  </si>
  <si>
    <t>EVM Prosjekt UM-ENG-03</t>
  </si>
  <si>
    <t>Kritisk kostnads- og fremdriftsavvik (CPI 0.76, SPI 0.80, TCPI 2.14)</t>
  </si>
  <si>
    <t>Prosjekteiermøte: Kutt i konsulentomfang og reallokering av vitenskapelig personell</t>
  </si>
  <si>
    <t>Prosjektleder / Dekan</t>
  </si>
  <si>
    <t>20.10.2026</t>
  </si>
  <si>
    <t>EVM Prosjekt UM-FPV-01</t>
  </si>
  <si>
    <t>Monetært kostnadsavvik -2,1 MNOK mot planlagt fremdrift (CPI 0.91)</t>
  </si>
  <si>
    <t>Revidert innkjøpsplan for maritim lab for å fange stordriftsfordeler</t>
  </si>
  <si>
    <t>Prosjektleder / Kontorsjef</t>
  </si>
  <si>
    <t>01.11.2026</t>
  </si>
  <si>
    <t>P2</t>
  </si>
  <si>
    <t>DFØ Internkontroll</t>
  </si>
  <si>
    <t>2 tilfeller av egengodkjenning av reiser (brudd på UiA fullmaktsmatrise)</t>
  </si>
  <si>
    <t>Omruting av bilag til overordnet leder for gyldig atestasjon; sperr utbetaling i Unit4</t>
  </si>
  <si>
    <t>Regnskapssjef</t>
  </si>
  <si>
    <t>12.10.2026</t>
  </si>
  <si>
    <t>DFØ Måltidskontroll</t>
  </si>
  <si>
    <t>5 tilfeller av manglende diettfradrag (hotellfrokost/lunsj inkludert)</t>
  </si>
  <si>
    <t>Automatisk diettkorreksjon på neste lønnskjøring i henhold til statens satser</t>
  </si>
  <si>
    <t>Lønnscontroller</t>
  </si>
  <si>
    <t>15.10.2026</t>
  </si>
  <si>
    <t>Earned Value Management (EVM) — Prosjektportefølje &amp; Fler-Modell EAC</t>
  </si>
  <si>
    <t>Formelverk iht. ANSI/EIA-748 og DFØ prosjektveileder. Modellvelger styres av cellen '01_Executive_Cockpit'!B19</t>
  </si>
  <si>
    <t>Prosjekt-ID</t>
  </si>
  <si>
    <t>Prosjektnavn</t>
  </si>
  <si>
    <t>Budsjett (BAC)</t>
  </si>
  <si>
    <t>Planlagt (PV)</t>
  </si>
  <si>
    <t>Opptjent (EV)</t>
  </si>
  <si>
    <t>Påløpt (AC)</t>
  </si>
  <si>
    <t>Kostnadsavvik (CV)</t>
  </si>
  <si>
    <t>Fremdriftsavvik (SV)</t>
  </si>
  <si>
    <t>CPI</t>
  </si>
  <si>
    <t>SPI</t>
  </si>
  <si>
    <t>EAC (Typisk CPI)</t>
  </si>
  <si>
    <t>EAC (Sammensatt)</t>
  </si>
  <si>
    <t>EAC (Vektet 80/20)</t>
  </si>
  <si>
    <t>EAC (Aktiv Modell)</t>
  </si>
  <si>
    <t>Sluttavvik (VAC)</t>
  </si>
  <si>
    <t>Gjenstående (ETC)</t>
  </si>
  <si>
    <t>TCPI</t>
  </si>
  <si>
    <t>Risiko Status</t>
  </si>
  <si>
    <t>UM-DEF-02</t>
  </si>
  <si>
    <t>Forsvarsforskning Agder (Skrogmodell)</t>
  </si>
  <si>
    <t>UM-ENG-03</t>
  </si>
  <si>
    <t>Ingeniørutdanning Fornybar (Komposittlab)</t>
  </si>
  <si>
    <t>UM-FPV-01</t>
  </si>
  <si>
    <t>Fotovoltaikk Solceller (Maritim Lab)</t>
  </si>
  <si>
    <t>NFR001</t>
  </si>
  <si>
    <t>NFR-AI: Kunstig intelligens i styring</t>
  </si>
  <si>
    <t>NFR002</t>
  </si>
  <si>
    <t>NFR-Helse: Pasientsikkerhet i helsefag</t>
  </si>
  <si>
    <t>EU001</t>
  </si>
  <si>
    <t>EU Horizon: Green Maritime Tech</t>
  </si>
  <si>
    <t>EU002</t>
  </si>
  <si>
    <t>EU Horizon: Digital Governance</t>
  </si>
  <si>
    <t>EVU001</t>
  </si>
  <si>
    <t>EVU Videreutdanning for kommuner</t>
  </si>
  <si>
    <t>OPPDRAG01</t>
  </si>
  <si>
    <t>Oppdragsforskning Batteriteknologi</t>
  </si>
  <si>
    <t>SUM PORTEFØLJE</t>
  </si>
  <si>
    <t>PORTEFØLJE</t>
  </si>
  <si>
    <t>Kumulativ EVM S-Kurve &amp; Månedlig Tidsserie 2026</t>
  </si>
  <si>
    <t>Månedsfordelt oppfølging av Planned Value (PV), Earned Value (EV) og Actual Cost (AC) for porteføljen</t>
  </si>
  <si>
    <t>Periode</t>
  </si>
  <si>
    <t>Måned</t>
  </si>
  <si>
    <t>Planlagt Verdi (PV)</t>
  </si>
  <si>
    <t>Påløpt Kostnad (AC)</t>
  </si>
  <si>
    <t>Kumulativ CPI</t>
  </si>
  <si>
    <t>Kumulativ SPI</t>
  </si>
  <si>
    <t>2026-M01</t>
  </si>
  <si>
    <t>Januar</t>
  </si>
  <si>
    <t>2026-M02</t>
  </si>
  <si>
    <t>Februar</t>
  </si>
  <si>
    <t>2026-M03</t>
  </si>
  <si>
    <t>Mars</t>
  </si>
  <si>
    <t>2026-M04</t>
  </si>
  <si>
    <t>April</t>
  </si>
  <si>
    <t>2026-M05</t>
  </si>
  <si>
    <t>Mai</t>
  </si>
  <si>
    <t>2026-M06</t>
  </si>
  <si>
    <t>Juni</t>
  </si>
  <si>
    <t>2026-M07</t>
  </si>
  <si>
    <t>Juli</t>
  </si>
  <si>
    <t>2026-M08</t>
  </si>
  <si>
    <t>August</t>
  </si>
  <si>
    <t>2026-M09</t>
  </si>
  <si>
    <t>September</t>
  </si>
  <si>
    <t>2026-M10</t>
  </si>
  <si>
    <t>Oktober (Aktuell)</t>
  </si>
  <si>
    <t>2026-M11</t>
  </si>
  <si>
    <t>November (Prognose)</t>
  </si>
  <si>
    <t>-</t>
  </si>
  <si>
    <t>2026-M12</t>
  </si>
  <si>
    <t>Desember (BAC Mål)</t>
  </si>
  <si>
    <t>Statlig Avsetningskontroll &amp; Preskriptiv Tiltaksmodell (F-05-20)</t>
  </si>
  <si>
    <t>Kunnskapsdepartementets regelverk for overføring av ubrukte bevilgninger (Maks 5,0 % av Kap. 260 post 50)</t>
  </si>
  <si>
    <t>Statlige Rammetall &amp; Gjeldende Status (2026-M10)</t>
  </si>
  <si>
    <t>Bevilgningsparameter / Nøkkeltall</t>
  </si>
  <si>
    <t>Beløp (NOK)</t>
  </si>
  <si>
    <t>Andel av Ramme</t>
  </si>
  <si>
    <t>Status &amp; Merknad</t>
  </si>
  <si>
    <t>Statlig Grunnbevilgning (Kap. 260, post 50)</t>
  </si>
  <si>
    <t>Tildeling over statsbudsjettet 2026</t>
  </si>
  <si>
    <t>Maksimalt Lovfestet Avsetningstak (5,0 %)</t>
  </si>
  <si>
    <t>Grenseverdi fastsatt i rundskriv F-05-20</t>
  </si>
  <si>
    <t>Reell Akkumulert Driftsavsetning (M10)</t>
  </si>
  <si>
    <t>Akkumulert overskudd/mindreforbruk per 31.10.2026</t>
  </si>
  <si>
    <t>Beregnet Overskridelse (Eksponert for Inndragning)</t>
  </si>
  <si>
    <t>DISPENSASJON PÅKREVD: Risiko for at KD inndrar midler</t>
  </si>
  <si>
    <t>Preskriptiv Tiltaksmodell — Simulering av EOY-Balanse (Endre beløp i kolonne B for å simulere effekt)</t>
  </si>
  <si>
    <t>Tiltaks-ID</t>
  </si>
  <si>
    <t>Tiltaksbeskrivelse / Strategisk Formål</t>
  </si>
  <si>
    <t>Simulert Tiltakskostnad (NOK)</t>
  </si>
  <si>
    <t>Foreslått Ansvarlig</t>
  </si>
  <si>
    <t>Gjennomførbarhet</t>
  </si>
  <si>
    <t>T1</t>
  </si>
  <si>
    <t>Framskyndet utstyrsinnkjøp maritim lab og simulatorer</t>
  </si>
  <si>
    <t>Fakultetsdirektør</t>
  </si>
  <si>
    <t>Høy - Anbud klart</t>
  </si>
  <si>
    <t>T2</t>
  </si>
  <si>
    <t>Ekstraordinært IKT-vedlikehold &amp; energieffektivisering</t>
  </si>
  <si>
    <t>Eiendomssjef</t>
  </si>
  <si>
    <t>Høy - Rammekontrakt</t>
  </si>
  <si>
    <t>T3</t>
  </si>
  <si>
    <t>Strategiske såkornmidler til EU Horizon forskningskonsortier</t>
  </si>
  <si>
    <t>Forskningsdekan</t>
  </si>
  <si>
    <t>Middels - Utlysning nov</t>
  </si>
  <si>
    <t>T4</t>
  </si>
  <si>
    <t>Ph.d.- og postdoktor stipendiatrekrutteringspakke</t>
  </si>
  <si>
    <t>Instituttleder</t>
  </si>
  <si>
    <t>Høy - Rekruttering igangsatt</t>
  </si>
  <si>
    <t>SUM TILTAKSPLAN</t>
  </si>
  <si>
    <t>Revidert Sluttbalanse Prognose (EOY 2026)</t>
  </si>
  <si>
    <t>Opprinnelig Akkumulert Driftsavsetning M10</t>
  </si>
  <si>
    <t>Total Effekt av Iverksatte Ledelsestiltak</t>
  </si>
  <si>
    <t>Revidert Prognostisert Driftsavsetning EOY</t>
  </si>
  <si>
    <t>Revidert Overskridelse mot 5 % Tak</t>
  </si>
  <si>
    <t>Revidert Regelverksstatus</t>
  </si>
  <si>
    <t>DFØ &amp; UBW Internkontroll — Atestering, Bilagskontroll &amp; Sperrelister</t>
  </si>
  <si>
    <t>Overvåking av 4-øyne-prinsippet, beløpsfullmakter, måltidsfradrag og bilagsdokumentasjon</t>
  </si>
  <si>
    <t>Internkontroll Nøkkeltall (M10)</t>
  </si>
  <si>
    <t>Scannede Saker</t>
  </si>
  <si>
    <t>Flagg / Avvik</t>
  </si>
  <si>
    <t>Eksponert Beløp</t>
  </si>
  <si>
    <t>Status Unit4</t>
  </si>
  <si>
    <t>DFØ Reiseregninger (15 stk utvalg)</t>
  </si>
  <si>
    <t>7 Sperret for utbetaling</t>
  </si>
  <si>
    <t>UBW Hovedboksposteringer (transaksjoner)</t>
  </si>
  <si>
    <t>1 Egengodkjenning flagget</t>
  </si>
  <si>
    <t>TOTAL EKSPONERING</t>
  </si>
  <si>
    <t>Sperrelister etablert</t>
  </si>
  <si>
    <t>DFØ Reiseregninger — Detaljert Kontrollmatrise (tbl_Travel_Audit)</t>
  </si>
  <si>
    <t>Reise-ID</t>
  </si>
  <si>
    <t>Ansatt Navn</t>
  </si>
  <si>
    <t>Dato</t>
  </si>
  <si>
    <t>Formål</t>
  </si>
  <si>
    <t>Måltid Dekket</t>
  </si>
  <si>
    <t>Fradrag Utført</t>
  </si>
  <si>
    <t>Km Godtgj.</t>
  </si>
  <si>
    <t>Kvittering</t>
  </si>
  <si>
    <t>BDM ID</t>
  </si>
  <si>
    <t>Attestant ID</t>
  </si>
  <si>
    <t>Avviksbeskrivelse</t>
  </si>
  <si>
    <t>Audit Status</t>
  </si>
  <si>
    <t>Sperret i Unit4?</t>
  </si>
  <si>
    <t>REISE-2026-001</t>
  </si>
  <si>
    <t>Ola Nordmann</t>
  </si>
  <si>
    <t>2026-01-12</t>
  </si>
  <si>
    <t>Fagkonferanse Bergen</t>
  </si>
  <si>
    <t>Lunsj, Middag</t>
  </si>
  <si>
    <t>JA</t>
  </si>
  <si>
    <t>EMP-101</t>
  </si>
  <si>
    <t>EMP-102</t>
  </si>
  <si>
    <t>OK</t>
  </si>
  <si>
    <t>APPROVED</t>
  </si>
  <si>
    <t>NEI</t>
  </si>
  <si>
    <t>REISE-2026-002</t>
  </si>
  <si>
    <t>Kari Hansen</t>
  </si>
  <si>
    <t>2026-01-15</t>
  </si>
  <si>
    <t>Møte Kunnskapsdepartementet</t>
  </si>
  <si>
    <t>Middag</t>
  </si>
  <si>
    <t>EMP-103</t>
  </si>
  <si>
    <t>EMP-104</t>
  </si>
  <si>
    <t>BRUDD_MALTID: Måltid var dekket (Middag), men måltidsfradrag er ikke trukket fra diett.</t>
  </si>
  <si>
    <t>FLAGGED</t>
  </si>
  <si>
    <t>REISE-2026-003</t>
  </si>
  <si>
    <t>Per Olsen</t>
  </si>
  <si>
    <t>2026-01-18</t>
  </si>
  <si>
    <t>Feltarbeid Agder</t>
  </si>
  <si>
    <t>Ingen</t>
  </si>
  <si>
    <t>EMP-105</t>
  </si>
  <si>
    <t>EMP-106</t>
  </si>
  <si>
    <t>REISE-2026-004</t>
  </si>
  <si>
    <t>Anne Berg</t>
  </si>
  <si>
    <t>2026-01-20</t>
  </si>
  <si>
    <t>Prosjektmøte EU Horizon</t>
  </si>
  <si>
    <t>Frokost, Lunsj</t>
  </si>
  <si>
    <t>EMP-107</t>
  </si>
  <si>
    <t>BRUDD_FIRE_OYNE: BDM og attestant er samme person (egengodkjenning).</t>
  </si>
  <si>
    <t>REISE-2026-005</t>
  </si>
  <si>
    <t>Lars Lie</t>
  </si>
  <si>
    <t>2026-01-22</t>
  </si>
  <si>
    <t>Deltakelse forskningsseminar Trondheim</t>
  </si>
  <si>
    <t>Frokost, Lunsj, Middag</t>
  </si>
  <si>
    <t>EMP-108</t>
  </si>
  <si>
    <t>EMP-109</t>
  </si>
  <si>
    <t>BRUDD_MALTID: Måltid var dekket (Frokost, Lunsj, Middag), men måltidsfradrag er ikke trukket fra diett.</t>
  </si>
  <si>
    <t>REISE-2026-006</t>
  </si>
  <si>
    <t>Eva Sunde</t>
  </si>
  <si>
    <t>2026-01-25</t>
  </si>
  <si>
    <t>Kort møte Arendal</t>
  </si>
  <si>
    <t>EMP-110</t>
  </si>
  <si>
    <t>EMP-111</t>
  </si>
  <si>
    <t>BRUDD_KM_RUTE: Kilometergodtgjørelse krever spesifisert rutebeskrivelse.</t>
  </si>
  <si>
    <t>REISE-2026-007</t>
  </si>
  <si>
    <t>Kjetil Dahl</t>
  </si>
  <si>
    <t>2026-01-28</t>
  </si>
  <si>
    <t>Taxi til flyplass Kjevik</t>
  </si>
  <si>
    <t>EMP-112</t>
  </si>
  <si>
    <t>EMP-113</t>
  </si>
  <si>
    <t>BRUDD_KVITTERING: Beløp over 100 NOK mangler vedlagt originalkvittering.</t>
  </si>
  <si>
    <t>REISE-2026-008</t>
  </si>
  <si>
    <t>Guri Moe</t>
  </si>
  <si>
    <t>2026-02-02</t>
  </si>
  <si>
    <t>AACSB Akkrediteringsmøte</t>
  </si>
  <si>
    <t>Lunsj</t>
  </si>
  <si>
    <t>EMP-114</t>
  </si>
  <si>
    <t>EMP-115</t>
  </si>
  <si>
    <t>REISE-2026-009</t>
  </si>
  <si>
    <t>Svein Bakke</t>
  </si>
  <si>
    <t>2026-02-05</t>
  </si>
  <si>
    <t>Bedriftsbesøk Kristiansand</t>
  </si>
  <si>
    <t>EMP-116</t>
  </si>
  <si>
    <t>EMP-117</t>
  </si>
  <si>
    <t>REISE-2026-010</t>
  </si>
  <si>
    <t>Monika Vik</t>
  </si>
  <si>
    <t>2026-02-08</t>
  </si>
  <si>
    <t>Gjesteforelesning UiO</t>
  </si>
  <si>
    <t>EMP-118</t>
  </si>
  <si>
    <t>EMP-119</t>
  </si>
  <si>
    <t>REISE-2026-011</t>
  </si>
  <si>
    <t>Tor Haug</t>
  </si>
  <si>
    <t>2026-02-11</t>
  </si>
  <si>
    <t>Middagsrepresentasjon eksterne partnere</t>
  </si>
  <si>
    <t>EMP-120</t>
  </si>
  <si>
    <t>EMP-121</t>
  </si>
  <si>
    <t>REISE-2026-012</t>
  </si>
  <si>
    <t>Ingrid Solberg</t>
  </si>
  <si>
    <t>2026-02-14</t>
  </si>
  <si>
    <t>Styremøte NFR Oslo</t>
  </si>
  <si>
    <t>Frokost</t>
  </si>
  <si>
    <t>EMP-122</t>
  </si>
  <si>
    <t>EMP-123</t>
  </si>
  <si>
    <t>REISE-2026-013</t>
  </si>
  <si>
    <t>Knut Rønning</t>
  </si>
  <si>
    <t>2026-02-18</t>
  </si>
  <si>
    <t>Kjøring til nettverkssamling Grimstad</t>
  </si>
  <si>
    <t>EMP-124</t>
  </si>
  <si>
    <t>EMP-125</t>
  </si>
  <si>
    <t>REISE-2026-014</t>
  </si>
  <si>
    <t>Hilde Bø</t>
  </si>
  <si>
    <t>2026-02-21</t>
  </si>
  <si>
    <t>Doktorgradsdisputas Tromsø</t>
  </si>
  <si>
    <t>EMP-126</t>
  </si>
  <si>
    <t>REISE-2026-015</t>
  </si>
  <si>
    <t>Morten Hagen</t>
  </si>
  <si>
    <t>2026-02-25</t>
  </si>
  <si>
    <t>Utlegg parkering Gardermoen</t>
  </si>
  <si>
    <t>EMP-127</t>
  </si>
  <si>
    <t>EMP-128</t>
  </si>
  <si>
    <t>TOTALT REISEREGNINGER</t>
  </si>
  <si>
    <t>project_id</t>
  </si>
  <si>
    <t>project_name</t>
  </si>
  <si>
    <t>department</t>
  </si>
  <si>
    <t>pm_name</t>
  </si>
  <si>
    <t>category</t>
  </si>
  <si>
    <t>bac</t>
  </si>
  <si>
    <t>status</t>
  </si>
  <si>
    <t>Teknologi og realfag</t>
  </si>
  <si>
    <t>Prof. T. Gundersen</t>
  </si>
  <si>
    <t>Forsvarskontrakt</t>
  </si>
  <si>
    <t>ON TRACK</t>
  </si>
  <si>
    <t>Ingeniørvitenskap</t>
  </si>
  <si>
    <t>Dr. E. Hansen</t>
  </si>
  <si>
    <t>Utdanning / Lab</t>
  </si>
  <si>
    <t>CRITICAL</t>
  </si>
  <si>
    <t>Fornybar Energi</t>
  </si>
  <si>
    <t>Prof. S. Vik</t>
  </si>
  <si>
    <t>Investering / FOU</t>
  </si>
  <si>
    <t>Handelshøyskolen</t>
  </si>
  <si>
    <t>Prof. R. Møller</t>
  </si>
  <si>
    <t>NFR Forskning (SRS 10)</t>
  </si>
  <si>
    <t>WARNING</t>
  </si>
  <si>
    <t>Helse- og idrettsfag</t>
  </si>
  <si>
    <t>Dr. K. Strand</t>
  </si>
  <si>
    <t>Prof. H. Berg</t>
  </si>
  <si>
    <t>EU Horizon Europe (SRS 10)</t>
  </si>
  <si>
    <t>Samfunnsvitenskap</t>
  </si>
  <si>
    <t>Dr. L. Aas</t>
  </si>
  <si>
    <t>Etter- og videreutdanning</t>
  </si>
  <si>
    <t>A. Lie</t>
  </si>
  <si>
    <t>Oppdragsundervisning (SRS 9)</t>
  </si>
  <si>
    <t>Dr. O. Dale</t>
  </si>
  <si>
    <t>Næringslivsoppdrag (SRS 9)</t>
  </si>
  <si>
    <t>Date</t>
  </si>
  <si>
    <t>Year</t>
  </si>
  <si>
    <t>Month</t>
  </si>
  <si>
    <t>MonthName</t>
  </si>
  <si>
    <t>ReportingPeriod</t>
  </si>
  <si>
    <t>Quarter</t>
  </si>
  <si>
    <t>2026-01-01</t>
  </si>
  <si>
    <t>January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</si>
  <si>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</si>
  <si>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</si>
  <si>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</si>
  <si>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</si>
  <si>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</si>
  <si>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</si>
  <si>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</si>
  <si>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</si>
  <si>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</si>
  <si>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</si>
  <si>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2026-01-13</t>
  </si>
  <si>
    <t>2026-01-14</t>
  </si>
  <si>
    <t>2026-01-16</t>
  </si>
  <si>
    <t>2026-01-17</t>
  </si>
  <si>
    <t>2026-01-19</t>
  </si>
  <si>
    <t>2026-01-21</t>
  </si>
  <si>
    <t>2026-01-23</t>
  </si>
  <si>
    <t>2026-01-24</t>
  </si>
  <si>
    <t>2026-01-26</t>
  </si>
  <si>
    <t>2026-01-27</t>
  </si>
  <si>
    <t>2026-01-29</t>
  </si>
  <si>
    <t>2026-01-30</t>
  </si>
  <si>
    <t>2026-01-31</t>
  </si>
  <si>
    <t>2026-02-01</t>
  </si>
  <si>
    <t>February</t>
  </si>
  <si>
    <t>2026-02-03</t>
  </si>
  <si>
    <t>2026-02-04</t>
  </si>
  <si>
    <t>2026-02-06</t>
  </si>
  <si>
    <t>2026-02-07</t>
  </si>
  <si>
    <t>2026-02-09</t>
  </si>
  <si>
    <t>2026-02-10</t>
  </si>
  <si>
    <t>2026-02-12</t>
  </si>
  <si>
    <t>2026-02-13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</si>
  <si>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</si>
  <si>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</si>
  <si>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</si>
  <si>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</si>
  <si>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</si>
  <si>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</si>
  <si>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</si>
  <si>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2026-02-24</t>
  </si>
  <si>
    <t>2026-02-26</t>
  </si>
  <si>
    <t>2026-02-27</t>
  </si>
  <si>
    <t>2026-02-28</t>
  </si>
  <si>
    <t>2026-03-01</t>
  </si>
  <si>
    <t>March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</si>
  <si>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</si>
  <si>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</si>
  <si>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</si>
  <si>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</si>
  <si>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</si>
  <si>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</si>
  <si>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</si>
  <si>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</si>
  <si>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</si>
  <si>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</si>
  <si>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</si>
  <si>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</si>
  <si>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</si>
  <si>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</si>
  <si>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</si>
  <si>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</si>
  <si>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</si>
  <si>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</si>
  <si>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</si>
  <si>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</si>
  <si>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</si>
  <si>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</si>
  <si>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</si>
  <si>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</si>
  <si>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</si>
  <si>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</si>
  <si>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</si>
  <si>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</si>
  <si>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</si>
  <si>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</si>
  <si>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</si>
  <si>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</si>
  <si>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</si>
  <si>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</si>
  <si>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</si>
  <si>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</si>
  <si>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</si>
  <si>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</si>
  <si>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</si>
  <si>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</si>
  <si>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</si>
  <si>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</si>
  <si>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</si>
  <si>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</si>
  <si>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</si>
  <si>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</si>
  <si>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</si>
  <si>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</si>
  <si>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</si>
  <si>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</si>
  <si>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</si>
  <si>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</si>
  <si>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</si>
  <si>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</si>
  <si>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</si>
  <si>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</si>
  <si>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</si>
  <si>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</si>
  <si>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</si>
  <si>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</si>
  <si>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</si>
  <si>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May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</si>
  <si>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</si>
  <si>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</si>
  <si>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</si>
  <si>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</si>
  <si>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</si>
  <si>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</si>
  <si>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</si>
  <si>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</si>
  <si>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</si>
  <si>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</si>
  <si>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</si>
  <si>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</si>
  <si>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</si>
  <si>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</si>
  <si>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</si>
  <si>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</si>
  <si>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</si>
  <si>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</si>
  <si>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</si>
  <si>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</si>
  <si>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</si>
  <si>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</si>
  <si>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</si>
  <si>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</si>
  <si>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</si>
  <si>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</si>
  <si>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</si>
  <si>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</si>
  <si>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</si>
  <si>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</si>
  <si>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</si>
  <si>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June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</si>
  <si>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</si>
  <si>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</si>
  <si>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</si>
  <si>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</si>
  <si>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</si>
  <si>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</si>
  <si>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</si>
  <si>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</si>
  <si>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</si>
  <si>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</si>
  <si>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</si>
  <si>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</si>
  <si>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</si>
  <si>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</si>
  <si>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</si>
  <si>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</si>
  <si>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</si>
  <si>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</si>
  <si>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</si>
  <si>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</si>
  <si>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</si>
  <si>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</si>
  <si>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</si>
  <si>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</si>
  <si>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</si>
  <si>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</si>
  <si>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</si>
  <si>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</si>
  <si>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</si>
  <si>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</si>
  <si>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</si>
  <si>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</si>
  <si>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</si>
  <si>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</si>
  <si>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</si>
  <si>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</si>
  <si>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</si>
  <si>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</si>
  <si>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</si>
  <si>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</si>
  <si>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</si>
  <si>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</si>
  <si>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</si>
  <si>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</si>
  <si>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</si>
  <si>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</si>
  <si>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</si>
  <si>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</si>
  <si>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</si>
  <si>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</si>
  <si>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</si>
  <si>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</si>
  <si>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</si>
  <si>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</si>
  <si>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</si>
  <si>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</si>
  <si>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</si>
  <si>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</si>
  <si>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</si>
  <si>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</si>
  <si>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</si>
  <si>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</si>
  <si>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</si>
  <si>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</si>
  <si>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</si>
  <si>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</si>
  <si>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</si>
  <si>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</si>
  <si>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</si>
  <si>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</si>
  <si>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</si>
  <si>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</si>
  <si>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</si>
  <si>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</si>
  <si>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</si>
  <si>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</si>
  <si>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</si>
  <si>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</si>
  <si>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</si>
  <si>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</si>
  <si>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</si>
  <si>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</si>
  <si>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</si>
  <si>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</si>
  <si>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</si>
  <si>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</si>
  <si>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</si>
  <si>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</si>
  <si>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</si>
  <si>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</si>
  <si>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</si>
  <si>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</si>
  <si>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</si>
  <si>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</si>
  <si>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</si>
  <si>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</si>
  <si>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</si>
  <si>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</si>
  <si>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</si>
  <si>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</si>
  <si>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</si>
  <si>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</si>
  <si>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</si>
  <si>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</si>
  <si>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</si>
  <si>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</si>
  <si>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</si>
  <si>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</si>
  <si>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</si>
  <si>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</si>
  <si>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</si>
  <si>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</si>
  <si>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</si>
  <si>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</si>
  <si>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</si>
  <si>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</si>
  <si>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</si>
  <si>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</si>
  <si>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</si>
  <si>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</si>
  <si>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</si>
  <si>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</si>
  <si>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</si>
  <si>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October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</si>
  <si>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</si>
  <si>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</si>
  <si>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</si>
  <si>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</si>
  <si>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</si>
  <si>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</si>
  <si>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</si>
  <si>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</si>
  <si>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</si>
  <si>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</si>
  <si>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</si>
  <si>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</si>
  <si>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</si>
  <si>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</si>
  <si>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</si>
  <si>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</si>
  <si>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</si>
  <si>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</si>
  <si>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</si>
  <si>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</si>
  <si>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</si>
  <si>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</si>
  <si>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</si>
  <si>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</si>
  <si>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</si>
  <si>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</si>
  <si>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</si>
  <si>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</si>
  <si>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</si>
  <si>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</si>
  <si>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</si>
  <si>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November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</si>
  <si>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</si>
  <si>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</si>
  <si>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</si>
  <si>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</si>
  <si>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</si>
  <si>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</si>
  <si>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</si>
  <si>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</si>
  <si>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</si>
  <si>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</si>
  <si>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</si>
  <si>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</si>
  <si>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</si>
  <si>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</si>
  <si>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</si>
  <si>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</si>
  <si>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</si>
  <si>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</si>
  <si>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</si>
  <si>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</si>
  <si>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</si>
  <si>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</si>
  <si>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</si>
  <si>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</si>
  <si>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</si>
  <si>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</si>
  <si>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</si>
  <si>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</si>
  <si>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</si>
  <si>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</si>
  <si>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December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</si>
  <si>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</si>
  <si>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</si>
  <si>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</si>
  <si>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</si>
  <si>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</si>
  <si>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</si>
  <si>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</si>
  <si>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</si>
  <si>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</si>
  <si>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</si>
  <si>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</si>
  <si>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</si>
  <si>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</si>
  <si>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</si>
  <si>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</si>
  <si>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</si>
  <si>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</si>
  <si>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</si>
  <si>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</si>
  <si>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</si>
  <si>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</si>
  <si>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</si>
  <si>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</si>
  <si>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</si>
  <si>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</si>
  <si>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</si>
  <si>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</si>
  <si>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</si>
  <si>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</si>
  <si>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</si>
  <si>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ModelCode</t>
  </si>
  <si>
    <t>ModelName</t>
  </si>
  <si>
    <t>Formula_Logic</t>
  </si>
  <si>
    <t>Cost_Weight</t>
  </si>
  <si>
    <t>Schedule_Weight</t>
  </si>
  <si>
    <t>Description</t>
  </si>
  <si>
    <t>Typisk CPI Modell</t>
  </si>
  <si>
    <t>BAC / CPI</t>
  </si>
  <si>
    <t>Forutsetter at historisk kostnadseffektivitet fortsetter uendret ut prosjektet</t>
  </si>
  <si>
    <t>Sammensatt CPI x SPI Modell</t>
  </si>
  <si>
    <t>AC + (BAC - EV)/(CPI * SPI)</t>
  </si>
  <si>
    <t>Tar eksplisitt hensyn til fremdriftsavvik og leveranseforsinkelse</t>
  </si>
  <si>
    <t>WEIGHTED</t>
  </si>
  <si>
    <t>Vektet 80/20 Modell</t>
  </si>
  <si>
    <t>AC + (BAC - EV)/(0.8*CPI + 0.2*SPI)</t>
  </si>
  <si>
    <t>Standard controlling-framskriving med 80 % vekt på kostnad og 20 % på fremdrift</t>
  </si>
  <si>
    <t>reporting_period</t>
  </si>
  <si>
    <t>snapshot_timestamp</t>
  </si>
  <si>
    <t>pv</t>
  </si>
  <si>
    <t>ev</t>
  </si>
  <si>
    <t>ac</t>
  </si>
  <si>
    <t>cpi</t>
  </si>
  <si>
    <t>spi</t>
  </si>
  <si>
    <t>eac_cpi</t>
  </si>
  <si>
    <t>eac_composite</t>
  </si>
  <si>
    <t>eac_weighted</t>
  </si>
  <si>
    <t>vac</t>
  </si>
  <si>
    <t>tcpi</t>
  </si>
  <si>
    <t>2026-10-04 18:29:36</t>
  </si>
  <si>
    <t>UM-AI-04</t>
  </si>
  <si>
    <t>UM-HEALTH-05</t>
  </si>
  <si>
    <t>2026-10-04 18:41:00</t>
  </si>
  <si>
    <t>transaksjon_id</t>
  </si>
  <si>
    <t>konto</t>
  </si>
  <si>
    <t>beskrivelse</t>
  </si>
  <si>
    <t>belop_nok</t>
  </si>
  <si>
    <t>bdm_id</t>
  </si>
  <si>
    <t>attestant_id</t>
  </si>
  <si>
    <t>kvittering_vedlagt</t>
  </si>
  <si>
    <t>formaal</t>
  </si>
  <si>
    <t>Kontrollflagg</t>
  </si>
  <si>
    <t>TX-1001</t>
  </si>
  <si>
    <t>7100</t>
  </si>
  <si>
    <t>Bilgodtgjørelse feltarbeid</t>
  </si>
  <si>
    <t>EMP-201</t>
  </si>
  <si>
    <t>EMP-202</t>
  </si>
  <si>
    <t>TX-1002</t>
  </si>
  <si>
    <t>7130</t>
  </si>
  <si>
    <t>Reiseregning fagsamling</t>
  </si>
  <si>
    <t>EMP-203</t>
  </si>
  <si>
    <t>Konferanse Oslo (FEIL: Egengodkjent)</t>
  </si>
  <si>
    <t>TX-1003</t>
  </si>
  <si>
    <t>6800</t>
  </si>
  <si>
    <t>Kontorrekvisita</t>
  </si>
  <si>
    <t>EMP-204</t>
  </si>
  <si>
    <t>Innkjøp rekvisita (FEIL: Mangler kvittering &gt; 100 kr)</t>
  </si>
  <si>
    <t>TX-1004</t>
  </si>
  <si>
    <t>5330</t>
  </si>
  <si>
    <t>Sensorhonorar Vår 2026</t>
  </si>
  <si>
    <t>EMP-205</t>
  </si>
  <si>
    <t>EMP-206</t>
  </si>
  <si>
    <t>Sensur ORG-200</t>
  </si>
  <si>
    <t>TX-1005</t>
  </si>
  <si>
    <t>7150</t>
  </si>
  <si>
    <t>Utenlandsreise AACSB</t>
  </si>
  <si>
    <t>AACSB Konferanse USA</t>
  </si>
  <si>
    <t>Prosjekt</t>
  </si>
  <si>
    <t>Finansieringstype</t>
  </si>
  <si>
    <t>Finansieringskilde</t>
  </si>
  <si>
    <t>Kontraktsbelop</t>
  </si>
  <si>
    <t>Budsjett</t>
  </si>
  <si>
    <t>Frikjop</t>
  </si>
  <si>
    <t>DirekteDrift</t>
  </si>
  <si>
    <t>Overhead</t>
  </si>
  <si>
    <t>Leiested</t>
  </si>
  <si>
    <t>PåløptKostnad</t>
  </si>
  <si>
    <t>Inntektsført</t>
  </si>
  <si>
    <t>Dekningsgrad</t>
  </si>
  <si>
    <t>%TidGått</t>
  </si>
  <si>
    <t>%BudsjettForbrukt</t>
  </si>
  <si>
    <t>Forbruksavvik</t>
  </si>
  <si>
    <t>RAG_Status</t>
  </si>
  <si>
    <t>StatusMerknad</t>
  </si>
  <si>
    <t>Bidrag</t>
  </si>
  <si>
    <t>NFR</t>
  </si>
  <si>
    <t>GUL: Betydelig fremdriftsforsinkelse</t>
  </si>
  <si>
    <t>Forsinket stipendiatrekruttering og lav fremdrift. Tiltak T003 iverksatt.</t>
  </si>
  <si>
    <t>GRØNN: I rute</t>
  </si>
  <si>
    <t>I rute iht. prosjektplan og milepæler.</t>
  </si>
  <si>
    <t>EU</t>
  </si>
  <si>
    <t>Green Maritime Tech i rute for Horizon Europe.</t>
  </si>
  <si>
    <t>Digital Governance i rute for Horizon Europe.</t>
  </si>
  <si>
    <t>Oppdrag</t>
  </si>
  <si>
    <t>Ekstern</t>
  </si>
  <si>
    <t>RØD: Betydelig merforbruk</t>
  </si>
  <si>
    <t>Konsulentmerforbruk og tapsrisiko (SRS 9). Tapsavsetning konto 7790/2800. Tiltak T004.</t>
  </si>
  <si>
    <t>Næringsliv</t>
  </si>
  <si>
    <t>Batteriteknologi oppdrag i henhold til leveranseplan.</t>
  </si>
  <si>
    <t>Konto</t>
  </si>
  <si>
    <t>StandardKonto3</t>
  </si>
  <si>
    <t>Kontonavn</t>
  </si>
  <si>
    <t>Kontoklasse</t>
  </si>
  <si>
    <t>Kontogruppe</t>
  </si>
  <si>
    <t>Kontotype</t>
  </si>
  <si>
    <t>SRS_regnskapslinje</t>
  </si>
  <si>
    <t>AktuellFor</t>
  </si>
  <si>
    <t>IKT-utstyr og maskiner (&gt;50k)</t>
  </si>
  <si>
    <t>Eiendeler</t>
  </si>
  <si>
    <t>Varige driftsmidler</t>
  </si>
  <si>
    <t>SRS/Alle</t>
  </si>
  <si>
    <t>Statens finansiering av anleggsmidler</t>
  </si>
  <si>
    <t>Gjeld/Kapital</t>
  </si>
  <si>
    <t>Statens kapital</t>
  </si>
  <si>
    <t>Avsetning ubenyttet rammebevilgning (F-05-20)</t>
  </si>
  <si>
    <t>Avsetninger</t>
  </si>
  <si>
    <t>Mottatt forskuddsbetaling bidrag (SRS 10)</t>
  </si>
  <si>
    <t>Kortsiktig gjeld</t>
  </si>
  <si>
    <t>Avsetning for forventet tap på oppdrag (SRS 9)</t>
  </si>
  <si>
    <t>Avsetning for forpliktelser</t>
  </si>
  <si>
    <t>Salgsinntekt tjenester, avgiftspliktig</t>
  </si>
  <si>
    <t>Inntekt</t>
  </si>
  <si>
    <t>Salgsinntekt</t>
  </si>
  <si>
    <t>Salgsinntekt tjenester, avgiftsfri</t>
  </si>
  <si>
    <t>Tilskudd fra Norges forskningsråd (SRS 10)</t>
  </si>
  <si>
    <t>Tilskudd og overføringer</t>
  </si>
  <si>
    <t>Tilskudd fra andre statlige virksomheter</t>
  </si>
  <si>
    <t>Tilskudd fra EU Horisont Europa (SRS 10)</t>
  </si>
  <si>
    <t>Oppdragsinntekt fra næringsliv (SRS 9)</t>
  </si>
  <si>
    <t>Inntekt fra statlig rammebevilgning (Kap 260)</t>
  </si>
  <si>
    <t>Inntekt fra bevilgninger</t>
  </si>
  <si>
    <t>Lønn fast ansatte</t>
  </si>
  <si>
    <t>Kostnad</t>
  </si>
  <si>
    <t>Lønnskostnader</t>
  </si>
  <si>
    <t>Overtid fast ansatte</t>
  </si>
  <si>
    <t>Feriepenger</t>
  </si>
  <si>
    <t>Lønn midlertidig ansatte</t>
  </si>
  <si>
    <t>Arbeidsgiveravgift</t>
  </si>
  <si>
    <t>Pensjonspremie til SPK</t>
  </si>
  <si>
    <t>Refusjon av sykepenger</t>
  </si>
  <si>
    <t>Refusjon av foreldrepenger</t>
  </si>
  <si>
    <t>Ordinære avskrivninger IKT og utstyr (SRS 17)</t>
  </si>
  <si>
    <t>Av- og nedskrivninger</t>
  </si>
  <si>
    <t>Leie lokaler</t>
  </si>
  <si>
    <t>Andre driftskostnader</t>
  </si>
  <si>
    <t>Leie av datasystemer og lisenser</t>
  </si>
  <si>
    <t>Konsulenttjenester programvare/IKT (FOA)</t>
  </si>
  <si>
    <t>Andre konsulenttjenester (FOA del II)</t>
  </si>
  <si>
    <t>Innleie av vikarer og undervisningstimer</t>
  </si>
  <si>
    <t>Kontorrekvisita og labutstyr &lt;50k</t>
  </si>
  <si>
    <t>Reisekostnader</t>
  </si>
  <si>
    <t>Avsetning for tap på oppdragskontrakter (SRS 9)</t>
  </si>
  <si>
    <t>Ledelsessammendrag — Prosjektportefølje og internkontroll</t>
  </si>
  <si>
    <t>Rapporteringsperiode: 2026-M10 | Dynamisk koblet til styringsmodell og internkontroll</t>
  </si>
  <si>
    <t>Portefølje BAC</t>
  </si>
  <si>
    <t>Aktiv EAC</t>
  </si>
  <si>
    <t>Forventet sluttavvik</t>
  </si>
  <si>
    <t>Porteføljestatus</t>
  </si>
  <si>
    <t>Status</t>
  </si>
  <si>
    <t>Antall</t>
  </si>
  <si>
    <t>Andel</t>
  </si>
  <si>
    <t>BAC (NOK)</t>
  </si>
  <si>
    <t>Kontroll- og regelverksstatus</t>
  </si>
  <si>
    <t>Nåverdi</t>
  </si>
  <si>
    <t>Mål/grense</t>
  </si>
  <si>
    <t>Avvik</t>
  </si>
  <si>
    <t>Driftsavsetning</t>
  </si>
  <si>
    <t>Revidert avsetning EOY</t>
  </si>
  <si>
    <t>Reiseavvik</t>
  </si>
  <si>
    <t>UBW-avvik</t>
  </si>
  <si>
    <t>Prioriterte ledelsestiltak</t>
  </si>
  <si>
    <t>Risiko / avvik</t>
  </si>
  <si>
    <t>Tiltak</t>
  </si>
  <si>
    <t>06_Sammendrag</t>
  </si>
  <si>
    <t>Kompakt porteføljeoversikt med KPI-er, RAG-status, internkontroll og prioriterte tiltak</t>
  </si>
  <si>
    <t>Gå til fane 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</si>
</sst>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&quot;NOK&quot;"/>
    <numFmt numFmtId="165" formatCode="0.0%"/>
    <numFmt numFmtId="166" formatCode="#,##0,,\ &quot;MNOK&quot;"/>
    <numFmt numFmtId="167" formatCode="dd\.mm\.yyyy"/>
  </numFmts>
  <fonts count="21" x14ac:knownFonts="1">
    <font>
      <sz val="11"/>
      <color theme="1"/>
      <name val="Calibri"/>
      <family val="2"/>
      <scheme val="minor"/>
    </font>
    <font>
      <b/>
      <sz val="16"/>
      <color rgb="FF0F172A"/>
      <name val="Segoe UI"/>
    </font>
    <font>
      <i/>
      <sz val="10"/>
      <color rgb="FF475569"/>
      <name val="Segoe UI"/>
    </font>
    <font>
      <b/>
      <sz val="12"/>
      <color rgb="FF0F172A"/>
      <name val="Segoe UI"/>
    </font>
    <font>
      <b/>
      <sz val="10"/>
      <color rgb="FFFFFFFF"/>
      <name val="Segoe UI"/>
    </font>
    <font>
      <b/>
      <sz val="10"/>
      <color rgb="FF0F172A"/>
      <name val="Segoe UI"/>
    </font>
    <font>
      <sz val="10"/>
      <color rgb="FF1E293B"/>
      <name val="Segoe UI"/>
    </font>
    <font>
      <sz val="9"/>
      <color rgb="FF0F172A"/>
      <name val="Consolas"/>
    </font>
    <font>
      <u/>
      <sz val="10"/>
      <color rgb="FF0284C7"/>
      <name val="Segoe UI"/>
    </font>
    <font>
      <b/>
      <sz val="10"/>
      <color rgb="FF065F46"/>
      <name val="Segoe UI"/>
    </font>
    <font>
      <b/>
      <sz val="10"/>
      <color rgb="FF991B1B"/>
      <name val="Segoe UI"/>
    </font>
    <font>
      <b/>
      <sz val="11"/>
      <color rgb="FF0369A1"/>
      <name val="Segoe UI"/>
    </font>
    <font>
      <b/>
      <sz val="10"/>
      <color rgb="FF92400E"/>
      <name val="Segoe UI"/>
    </font>
    <font>
      <b/>
      <sz val="10"/>
      <color rgb="FF0369A1"/>
      <name val="Segoe UI"/>
    </font>
    <font>
      <sz val="10"/>
      <color theme="1"/>
      <name val="Aptos"/>
    </font>
    <font>
      <b/>
      <sz val="11"/>
      <color rgb="FFFFFFFF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5B6573"/>
      <name val="Calibri"/>
      <family val="2"/>
      <scheme val="minor"/>
    </font>
    <font>
      <b/>
      <sz val="11"/>
      <color rgb="FF17365D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color rgb="FF17365D"/>
      <name val="Aptos"/>
    </font>
  </fonts>
  <fills count="11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FEE2E2"/>
        <bgColor rgb="FFFEE2E2"/>
      </patternFill>
    </fill>
    <fill>
      <patternFill patternType="solid">
        <fgColor rgb="FFE0F2FE"/>
        <bgColor rgb="FFE0F2FE"/>
      </patternFill>
    </fill>
    <fill>
      <patternFill patternType="solid">
        <fgColor rgb="FFD1FAE5"/>
        <bgColor rgb="FFD1FAE5"/>
      </patternFill>
    </fill>
    <fill>
      <patternFill patternType="solid">
        <fgColor rgb="FFF1F5F9"/>
        <bgColor rgb="FFF1F5F9"/>
      </patternFill>
    </fill>
    <fill>
      <patternFill patternType="solid">
        <fgColor rgb="FFFFFFFF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E293B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0" borderId="1" xfId="0" applyFont="1" applyBorder="1"/>
    <xf numFmtId="0" fontId="6" fillId="0" borderId="1" xfId="0" applyFont="1" applyBorder="1"/>
    <xf numFmtId="0" fontId="7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0" fontId="4" fillId="3" borderId="0" xfId="0" applyFont="1" applyFill="1"/>
    <xf numFmtId="0" fontId="8" fillId="0" borderId="1" xfId="0" applyFont="1" applyBorder="1"/>
    <xf numFmtId="164" fontId="5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9" fillId="0" borderId="1" xfId="0" applyFont="1" applyBorder="1"/>
    <xf numFmtId="0" fontId="5" fillId="4" borderId="1" xfId="0" applyFont="1" applyFill="1" applyBorder="1"/>
    <xf numFmtId="164" fontId="10" fillId="4" borderId="1" xfId="0" applyNumberFormat="1" applyFont="1" applyFill="1" applyBorder="1" applyAlignment="1">
      <alignment horizontal="right"/>
    </xf>
    <xf numFmtId="164" fontId="6" fillId="4" borderId="1" xfId="0" applyNumberFormat="1" applyFont="1" applyFill="1" applyBorder="1" applyAlignment="1">
      <alignment horizontal="right"/>
    </xf>
    <xf numFmtId="0" fontId="10" fillId="4" borderId="1" xfId="0" applyFont="1" applyFill="1" applyBorder="1"/>
    <xf numFmtId="0" fontId="6" fillId="4" borderId="1" xfId="0" applyFont="1" applyFill="1" applyBorder="1"/>
    <xf numFmtId="2" fontId="10" fillId="4" borderId="1" xfId="0" applyNumberFormat="1" applyFont="1" applyFill="1" applyBorder="1" applyAlignment="1">
      <alignment horizontal="right"/>
    </xf>
    <xf numFmtId="2" fontId="6" fillId="4" borderId="1" xfId="0" applyNumberFormat="1" applyFont="1" applyFill="1" applyBorder="1" applyAlignment="1">
      <alignment horizontal="right"/>
    </xf>
    <xf numFmtId="2" fontId="10" fillId="0" borderId="1" xfId="0" applyNumberFormat="1" applyFont="1" applyBorder="1" applyAlignment="1">
      <alignment horizontal="right"/>
    </xf>
    <xf numFmtId="2" fontId="6" fillId="0" borderId="1" xfId="0" applyNumberFormat="1" applyFont="1" applyBorder="1" applyAlignment="1">
      <alignment horizontal="right"/>
    </xf>
    <xf numFmtId="0" fontId="10" fillId="0" borderId="1" xfId="0" applyFont="1" applyBorder="1"/>
    <xf numFmtId="165" fontId="10" fillId="4" borderId="1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0" fontId="5" fillId="0" borderId="0" xfId="0" applyFont="1"/>
    <xf numFmtId="0" fontId="11" fillId="5" borderId="2" xfId="0" applyFont="1" applyFill="1" applyBorder="1" applyAlignment="1">
      <alignment horizontal="center"/>
    </xf>
    <xf numFmtId="0" fontId="12" fillId="0" borderId="1" xfId="0" applyFont="1" applyBorder="1"/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right"/>
    </xf>
    <xf numFmtId="0" fontId="7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9" fillId="6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5" fillId="7" borderId="3" xfId="0" applyFont="1" applyFill="1" applyBorder="1"/>
    <xf numFmtId="164" fontId="5" fillId="7" borderId="3" xfId="0" applyNumberFormat="1" applyFont="1" applyFill="1" applyBorder="1" applyAlignment="1">
      <alignment horizontal="right"/>
    </xf>
    <xf numFmtId="2" fontId="5" fillId="7" borderId="3" xfId="0" applyNumberFormat="1" applyFont="1" applyFill="1" applyBorder="1" applyAlignment="1">
      <alignment horizontal="right"/>
    </xf>
    <xf numFmtId="0" fontId="5" fillId="7" borderId="3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right"/>
    </xf>
    <xf numFmtId="2" fontId="5" fillId="7" borderId="1" xfId="0" applyNumberFormat="1" applyFont="1" applyFill="1" applyBorder="1" applyAlignment="1">
      <alignment horizontal="right"/>
    </xf>
    <xf numFmtId="0" fontId="0" fillId="0" borderId="1" xfId="0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165" fontId="5" fillId="4" borderId="1" xfId="0" applyNumberFormat="1" applyFont="1" applyFill="1" applyBorder="1" applyAlignment="1">
      <alignment horizontal="right"/>
    </xf>
    <xf numFmtId="164" fontId="13" fillId="5" borderId="2" xfId="0" applyNumberFormat="1" applyFont="1" applyFill="1" applyBorder="1" applyAlignment="1">
      <alignment horizontal="right"/>
    </xf>
    <xf numFmtId="0" fontId="0" fillId="7" borderId="3" xfId="0" applyFill="1" applyBorder="1"/>
    <xf numFmtId="0" fontId="5" fillId="7" borderId="1" xfId="0" applyFont="1" applyFill="1" applyBorder="1"/>
    <xf numFmtId="165" fontId="5" fillId="7" borderId="1" xfId="0" applyNumberFormat="1" applyFont="1" applyFill="1" applyBorder="1" applyAlignment="1">
      <alignment horizontal="right"/>
    </xf>
    <xf numFmtId="0" fontId="5" fillId="6" borderId="1" xfId="0" applyFont="1" applyFill="1" applyBorder="1"/>
    <xf numFmtId="49" fontId="9" fillId="6" borderId="1" xfId="0" applyNumberFormat="1" applyFont="1" applyFill="1" applyBorder="1" applyAlignment="1">
      <alignment horizontal="left"/>
    </xf>
    <xf numFmtId="165" fontId="5" fillId="6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0" fontId="5" fillId="4" borderId="3" xfId="0" applyFont="1" applyFill="1" applyBorder="1"/>
    <xf numFmtId="3" fontId="6" fillId="4" borderId="3" xfId="0" applyNumberFormat="1" applyFont="1" applyFill="1" applyBorder="1" applyAlignment="1">
      <alignment horizontal="right"/>
    </xf>
    <xf numFmtId="3" fontId="10" fillId="4" borderId="3" xfId="0" applyNumberFormat="1" applyFont="1" applyFill="1" applyBorder="1" applyAlignment="1">
      <alignment horizontal="right"/>
    </xf>
    <xf numFmtId="164" fontId="10" fillId="4" borderId="3" xfId="0" applyNumberFormat="1" applyFont="1" applyFill="1" applyBorder="1" applyAlignment="1">
      <alignment horizontal="right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right"/>
    </xf>
    <xf numFmtId="164" fontId="0" fillId="0" borderId="1" xfId="0" applyNumberFormat="1" applyBorder="1"/>
    <xf numFmtId="3" fontId="0" fillId="0" borderId="1" xfId="0" applyNumberFormat="1" applyBorder="1"/>
    <xf numFmtId="0" fontId="7" fillId="4" borderId="1" xfId="0" applyFont="1" applyFill="1" applyBorder="1"/>
    <xf numFmtId="164" fontId="0" fillId="4" borderId="1" xfId="0" applyNumberFormat="1" applyFill="1" applyBorder="1"/>
    <xf numFmtId="3" fontId="0" fillId="4" borderId="1" xfId="0" applyNumberFormat="1" applyFill="1" applyBorder="1"/>
    <xf numFmtId="3" fontId="0" fillId="7" borderId="3" xfId="0" applyNumberForma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4" fontId="0" fillId="4" borderId="1" xfId="0" applyNumberFormat="1" applyFill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14" fillId="8" borderId="0" xfId="0" applyFont="1" applyFill="1"/>
    <xf numFmtId="166" fontId="19" fillId="0" borderId="0" xfId="0" applyNumberFormat="1" applyFont="1" applyAlignment="1">
      <alignment horizontal="center" vertical="center"/>
    </xf>
    <xf numFmtId="0" fontId="19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9" borderId="0" xfId="0" applyFont="1" applyFill="1" applyAlignment="1">
      <alignment vertical="center"/>
    </xf>
    <xf numFmtId="0" fontId="17" fillId="0" borderId="0" xfId="0" applyFont="1" applyAlignment="1">
      <alignment vertical="center"/>
    </xf>
    <xf numFmtId="0" fontId="14" fillId="8" borderId="0" xfId="0" applyFont="1" applyFill="1" applyAlignment="1">
      <alignment vertical="center"/>
    </xf>
    <xf numFmtId="0" fontId="18" fillId="10" borderId="0" xfId="0" applyFont="1" applyFill="1" applyAlignment="1">
      <alignment horizontal="center" vertical="center"/>
    </xf>
    <xf numFmtId="0" fontId="15" fillId="9" borderId="0" xfId="0" applyFont="1" applyFill="1" applyAlignment="1">
      <alignment vertical="center"/>
    </xf>
    <xf numFmtId="0" fontId="20" fillId="10" borderId="0" xfId="0" applyFont="1" applyFill="1" applyAlignment="1">
      <alignment horizontal="center" vertical="center"/>
    </xf>
    <xf numFmtId="9" fontId="14" fillId="8" borderId="0" xfId="0" applyNumberFormat="1" applyFont="1" applyFill="1" applyAlignment="1">
      <alignment vertical="center"/>
    </xf>
    <xf numFmtId="164" fontId="14" fillId="8" borderId="0" xfId="0" applyNumberFormat="1" applyFont="1" applyFill="1" applyAlignment="1">
      <alignment vertical="center"/>
    </xf>
    <xf numFmtId="165" fontId="14" fillId="8" borderId="0" xfId="0" applyNumberFormat="1" applyFont="1" applyFill="1" applyAlignment="1">
      <alignment vertical="center"/>
    </xf>
    <xf numFmtId="1" fontId="14" fillId="8" borderId="0" xfId="0" applyNumberFormat="1" applyFont="1" applyFill="1" applyAlignment="1">
      <alignment vertical="center"/>
    </xf>
    <xf numFmtId="0" fontId="20" fillId="10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167" fontId="14" fillId="8" borderId="0" xfId="0" applyNumberFormat="1" applyFont="1" applyFill="1" applyAlignment="1">
      <alignment vertical="center"/>
    </xf>
    <xf numFmtId="0" fontId="18" fillId="10" borderId="0" xfId="0" applyFont="1" applyFill="1"/>
  </cellXfs>
  <cellStyles count="1">
    <cellStyle name="Normal" xfId="0" builtinId="0"/>
  </cellStyles>
  <dxfs count="43"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7365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Prosjekter etter RAG-status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7365D"/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'06_Sammendrag'!$B$9</c:f>
              <c:strCache>
                <c:ptCount val="1"/>
                <c:pt idx="0">
                  <c:v>Antall</c:v>
                </c:pt>
              </c:strCache>
            </c:strRef>
          </c:tx>
          <c:dPt>
            <c:idx val="0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A61-478D-B930-B1FF722B754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A61-478D-B930-B1FF722B7543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A61-478D-B930-B1FF722B7543}"/>
              </c:ext>
            </c:extLst>
          </c:dPt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'06_Sammendrag'!$A$10:$A$12</c:f>
              <c:strCache>
                <c:ptCount val="3"/>
                <c:pt idx="0">
                  <c:v>ON TRACK</c:v>
                </c:pt>
                <c:pt idx="1">
                  <c:v>WARNING</c:v>
                </c:pt>
                <c:pt idx="2">
                  <c:v>CRITICAL</c:v>
                </c:pt>
              </c:strCache>
            </c:strRef>
          </c:cat>
          <c:val>
            <c:numRef>
              <c:f>'06_Sammendrag'!$B$10:$B$12</c:f>
              <c:numCache>
                <c:formatCode>General</c:formatCode>
                <c:ptCount val="3"/>
                <c:pt idx="0">
                  <c:v>5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1-478D-B930-B1FF722B7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7365D"/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Budsjettramme mot prognostisert sluttkostnad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7365D"/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BAC</c:v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'02_EVM_Prosjektkontroll'!$A$5:$A$13</c:f>
              <c:strCache>
                <c:ptCount val="9"/>
                <c:pt idx="0">
                  <c:v>UM-DEF-02</c:v>
                </c:pt>
                <c:pt idx="1">
                  <c:v>UM-ENG-03</c:v>
                </c:pt>
                <c:pt idx="2">
                  <c:v>UM-FPV-01</c:v>
                </c:pt>
                <c:pt idx="3">
                  <c:v>NFR001</c:v>
                </c:pt>
                <c:pt idx="4">
                  <c:v>NFR002</c:v>
                </c:pt>
                <c:pt idx="5">
                  <c:v>EU001</c:v>
                </c:pt>
                <c:pt idx="6">
                  <c:v>EU002</c:v>
                </c:pt>
                <c:pt idx="7">
                  <c:v>EVU001</c:v>
                </c:pt>
                <c:pt idx="8">
                  <c:v>OPPDRAG01</c:v>
                </c:pt>
              </c:strCache>
            </c:strRef>
          </c:cat>
          <c:val>
            <c:numRef>
              <c:f>'02_EVM_Prosjektkontroll'!$C$5:$C$13</c:f>
              <c:numCache>
                <c:formatCode>#,##0\ "NOK"</c:formatCode>
                <c:ptCount val="9"/>
                <c:pt idx="0">
                  <c:v>18500000</c:v>
                </c:pt>
                <c:pt idx="1">
                  <c:v>8200000</c:v>
                </c:pt>
                <c:pt idx="2">
                  <c:v>45000000</c:v>
                </c:pt>
                <c:pt idx="3">
                  <c:v>4000000</c:v>
                </c:pt>
                <c:pt idx="4">
                  <c:v>2800000</c:v>
                </c:pt>
                <c:pt idx="5">
                  <c:v>6200000</c:v>
                </c:pt>
                <c:pt idx="6">
                  <c:v>4500000</c:v>
                </c:pt>
                <c:pt idx="7">
                  <c:v>1200000</c:v>
                </c:pt>
                <c:pt idx="8">
                  <c:v>1800000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6A-45C9-AEE0-B0D3C2C66BEE}"/>
            </c:ext>
          </c:extLst>
        </c:ser>
        <c:ser>
          <c:idx val="1"/>
          <c:order val="1"/>
          <c:tx>
            <c:v>Aktiv EAC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val>
            <c:numRef>
              <c:f>'02_EVM_Prosjektkontroll'!$N$5:$N$13</c:f>
              <c:numCache>
                <c:formatCode>#,##0\ "NOK"</c:formatCode>
                <c:ptCount val="9"/>
                <c:pt idx="0">
                  <c:v>17793550.120935231</c:v>
                </c:pt>
                <c:pt idx="1">
                  <c:v>11703846.153846152</c:v>
                </c:pt>
                <c:pt idx="2">
                  <c:v>51385714.285714284</c:v>
                </c:pt>
                <c:pt idx="3">
                  <c:v>5270476.1904761903</c:v>
                </c:pt>
                <c:pt idx="4">
                  <c:v>2800000</c:v>
                </c:pt>
                <c:pt idx="5">
                  <c:v>6200000</c:v>
                </c:pt>
                <c:pt idx="6">
                  <c:v>4500000</c:v>
                </c:pt>
                <c:pt idx="7">
                  <c:v>1728000</c:v>
                </c:pt>
                <c:pt idx="8">
                  <c:v>1810224.7191011235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6A-45C9-AEE0-B0D3C2C66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75116784"/>
        <c:axId val="1670170768"/>
      </c:barChart>
      <c:catAx>
        <c:axId val="15751167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Prosjekt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70170768"/>
        <c:crosses val="autoZero"/>
        <c:auto val="1"/>
        <c:lblAlgn val="ctr"/>
        <c:lblOffset val="100"/>
        <c:noMultiLvlLbl val="0"/>
      </c:catAx>
      <c:valAx>
        <c:axId val="1670170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MNOK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#,##0\ &quot;NO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575116784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7365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Kostnads- og fremdriftseffektivitet per prosjekt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7365D"/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'02_EVM_Prosjektkontroll'!$I$4</c:f>
              <c:strCache>
                <c:ptCount val="1"/>
                <c:pt idx="0">
                  <c:v>CPI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'02_EVM_Prosjektkontroll'!$A$5:$A$13</c:f>
              <c:strCache>
                <c:ptCount val="9"/>
                <c:pt idx="0">
                  <c:v>UM-DEF-02</c:v>
                </c:pt>
                <c:pt idx="1">
                  <c:v>UM-ENG-03</c:v>
                </c:pt>
                <c:pt idx="2">
                  <c:v>UM-FPV-01</c:v>
                </c:pt>
                <c:pt idx="3">
                  <c:v>NFR001</c:v>
                </c:pt>
                <c:pt idx="4">
                  <c:v>NFR002</c:v>
                </c:pt>
                <c:pt idx="5">
                  <c:v>EU001</c:v>
                </c:pt>
                <c:pt idx="6">
                  <c:v>EU002</c:v>
                </c:pt>
                <c:pt idx="7">
                  <c:v>EVU001</c:v>
                </c:pt>
                <c:pt idx="8">
                  <c:v>OPPDRAG01</c:v>
                </c:pt>
              </c:strCache>
            </c:strRef>
          </c:cat>
          <c:val>
            <c:numRef>
              <c:f>'02_EVM_Prosjektkontroll'!$I$5:$I$13</c:f>
              <c:numCache>
                <c:formatCode>0.00</c:formatCode>
                <c:ptCount val="9"/>
                <c:pt idx="0">
                  <c:v>1.0338983050847457</c:v>
                </c:pt>
                <c:pt idx="1">
                  <c:v>0.76470588235294112</c:v>
                </c:pt>
                <c:pt idx="2">
                  <c:v>0.90909090909090906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0.69444444444444442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F2-4786-ABC3-995223CCBA6A}"/>
            </c:ext>
          </c:extLst>
        </c:ser>
        <c:ser>
          <c:idx val="1"/>
          <c:order val="1"/>
          <c:tx>
            <c:strRef>
              <c:f>'02_EVM_Prosjektkontroll'!$J$4</c:f>
              <c:strCache>
                <c:ptCount val="1"/>
                <c:pt idx="0">
                  <c:v>SPI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'02_EVM_Prosjektkontroll'!$A$5:$A$13</c:f>
              <c:strCache>
                <c:ptCount val="9"/>
                <c:pt idx="0">
                  <c:v>UM-DEF-02</c:v>
                </c:pt>
                <c:pt idx="1">
                  <c:v>UM-ENG-03</c:v>
                </c:pt>
                <c:pt idx="2">
                  <c:v>UM-FPV-01</c:v>
                </c:pt>
                <c:pt idx="3">
                  <c:v>NFR001</c:v>
                </c:pt>
                <c:pt idx="4">
                  <c:v>NFR002</c:v>
                </c:pt>
                <c:pt idx="5">
                  <c:v>EU001</c:v>
                </c:pt>
                <c:pt idx="6">
                  <c:v>EU002</c:v>
                </c:pt>
                <c:pt idx="7">
                  <c:v>EVU001</c:v>
                </c:pt>
                <c:pt idx="8">
                  <c:v>OPPDRAG01</c:v>
                </c:pt>
              </c:strCache>
            </c:strRef>
          </c:cat>
          <c:val>
            <c:numRef>
              <c:f>'02_EVM_Prosjektkontroll'!$J$5:$J$13</c:f>
              <c:numCache>
                <c:formatCode>0.00</c:formatCode>
                <c:ptCount val="9"/>
                <c:pt idx="0">
                  <c:v>1.0166666666666666</c:v>
                </c:pt>
                <c:pt idx="1">
                  <c:v>0.8</c:v>
                </c:pt>
                <c:pt idx="2">
                  <c:v>0.93333333333333335</c:v>
                </c:pt>
                <c:pt idx="3">
                  <c:v>0.64615384615384619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0.98888888888888893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F2-4786-ABC3-995223CCB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5171536"/>
        <c:axId val="1670077168"/>
      </c:barChart>
      <c:catAx>
        <c:axId val="157517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70077168"/>
        <c:crosses val="autoZero"/>
        <c:auto val="1"/>
        <c:lblAlgn val="ctr"/>
        <c:lblOffset val="100"/>
        <c:noMultiLvlLbl val="0"/>
      </c:catAx>
      <c:valAx>
        <c:axId val="167007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Indeks (1,00 = plan)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57517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 sz="1400" b="1">
                <a:solidFill>
                  <a:srgbClr val="17365D"/>
                </a:solidFill>
              </a:defRPr>
            </a:pPr>
            <a:r>
              <a:rPr lang="en-US"/>
              <a:t>Kumulativ S-kurve: PV, EV og AC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'03_S_Kurve_Tidsserie'!$C$4</c:f>
              <c:strCache>
                <c:ptCount val="1"/>
                <c:pt idx="0">
                  <c:v>Planlagt Verdi (PV)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none"/>
          </c:marker>
          <c:cat>
            <c:strRef>
              <c:f>'03_S_Kurve_Tidsserie'!$A$5:$A$14</c:f>
              <c:strCache>
                <c:ptCount val="10"/>
                <c:pt idx="0">
                  <c:v>2026-M01</c:v>
                </c:pt>
                <c:pt idx="1">
                  <c:v>2026-M02</c:v>
                </c:pt>
                <c:pt idx="2">
                  <c:v>2026-M03</c:v>
                </c:pt>
                <c:pt idx="3">
                  <c:v>2026-M04</c:v>
                </c:pt>
                <c:pt idx="4">
                  <c:v>2026-M05</c:v>
                </c:pt>
                <c:pt idx="5">
                  <c:v>2026-M06</c:v>
                </c:pt>
                <c:pt idx="6">
                  <c:v>2026-M07</c:v>
                </c:pt>
                <c:pt idx="7">
                  <c:v>2026-M08</c:v>
                </c:pt>
                <c:pt idx="8">
                  <c:v>2026-M09</c:v>
                </c:pt>
                <c:pt idx="9">
                  <c:v>2026-M10</c:v>
                </c:pt>
              </c:strCache>
            </c:strRef>
          </c:cat>
          <c:val>
            <c:numRef>
              <c:f>'03_S_Kurve_Tidsserie'!$C$5:$C$14</c:f>
              <c:numCache>
                <c:formatCode>#,##0\ "NOK"</c:formatCode>
                <c:ptCount val="10"/>
                <c:pt idx="0">
                  <c:v>3500000</c:v>
                </c:pt>
                <c:pt idx="1">
                  <c:v>7200000</c:v>
                </c:pt>
                <c:pt idx="2">
                  <c:v>11500000</c:v>
                </c:pt>
                <c:pt idx="3">
                  <c:v>16000000</c:v>
                </c:pt>
                <c:pt idx="4">
                  <c:v>21000000</c:v>
                </c:pt>
                <c:pt idx="5">
                  <c:v>26500000</c:v>
                </c:pt>
                <c:pt idx="6">
                  <c:v>30000000</c:v>
                </c:pt>
                <c:pt idx="7">
                  <c:v>34500000</c:v>
                </c:pt>
                <c:pt idx="8">
                  <c:v>38000000</c:v>
                </c:pt>
                <c:pt idx="9">
                  <c:v>41000000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13-4191-918B-17809CF30545}"/>
            </c:ext>
          </c:extLst>
        </c:ser>
        <c:ser>
          <c:idx val="1"/>
          <c:order val="1"/>
          <c:tx>
            <c:strRef>
              <c:f>'03_S_Kurve_Tidsserie'!$D$4</c:f>
              <c:strCache>
                <c:ptCount val="1"/>
                <c:pt idx="0">
                  <c:v>Opptjent Verdi (EV)</c:v>
                </c:pt>
              </c:strCache>
            </c:strRef>
          </c:tx>
          <c:spPr>
            <a:ln w="28575">
              <a:solidFill>
                <a:srgbClr val="70AD47"/>
              </a:solidFill>
              <a:prstDash val="solid"/>
            </a:ln>
          </c:spPr>
          <c:marker>
            <c:symbol val="none"/>
          </c:marker>
          <c:cat>
            <c:strRef>
              <c:f>'03_S_Kurve_Tidsserie'!$A$5:$A$14</c:f>
              <c:strCache>
                <c:ptCount val="10"/>
                <c:pt idx="0">
                  <c:v>2026-M01</c:v>
                </c:pt>
                <c:pt idx="1">
                  <c:v>2026-M02</c:v>
                </c:pt>
                <c:pt idx="2">
                  <c:v>2026-M03</c:v>
                </c:pt>
                <c:pt idx="3">
                  <c:v>2026-M04</c:v>
                </c:pt>
                <c:pt idx="4">
                  <c:v>2026-M05</c:v>
                </c:pt>
                <c:pt idx="5">
                  <c:v>2026-M06</c:v>
                </c:pt>
                <c:pt idx="6">
                  <c:v>2026-M07</c:v>
                </c:pt>
                <c:pt idx="7">
                  <c:v>2026-M08</c:v>
                </c:pt>
                <c:pt idx="8">
                  <c:v>2026-M09</c:v>
                </c:pt>
                <c:pt idx="9">
                  <c:v>2026-M10</c:v>
                </c:pt>
              </c:strCache>
            </c:strRef>
          </c:cat>
          <c:val>
            <c:numRef>
              <c:f>'03_S_Kurve_Tidsserie'!$D$5:$D$14</c:f>
              <c:numCache>
                <c:formatCode>#,##0\ "NOK"</c:formatCode>
                <c:ptCount val="10"/>
                <c:pt idx="0">
                  <c:v>3600000</c:v>
                </c:pt>
                <c:pt idx="1">
                  <c:v>7100000</c:v>
                </c:pt>
                <c:pt idx="2">
                  <c:v>11000000</c:v>
                </c:pt>
                <c:pt idx="3">
                  <c:v>15200000</c:v>
                </c:pt>
                <c:pt idx="4">
                  <c:v>19800000</c:v>
                </c:pt>
                <c:pt idx="5">
                  <c:v>24900000</c:v>
                </c:pt>
                <c:pt idx="6">
                  <c:v>28000000</c:v>
                </c:pt>
                <c:pt idx="7">
                  <c:v>32100000</c:v>
                </c:pt>
                <c:pt idx="8">
                  <c:v>35000000</c:v>
                </c:pt>
                <c:pt idx="9">
                  <c:v>38400000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13-4191-918B-17809CF30545}"/>
            </c:ext>
          </c:extLst>
        </c:ser>
        <c:ser>
          <c:idx val="2"/>
          <c:order val="2"/>
          <c:tx>
            <c:strRef>
              <c:f>'03_S_Kurve_Tidsserie'!$E$4</c:f>
              <c:strCache>
                <c:ptCount val="1"/>
                <c:pt idx="0">
                  <c:v>Påløpt Kostnad (AC)</c:v>
                </c:pt>
              </c:strCache>
            </c:strRef>
          </c:tx>
          <c:spPr>
            <a:ln w="28575">
              <a:solidFill>
                <a:srgbClr val="ED7D31"/>
              </a:solidFill>
              <a:prstDash val="solid"/>
            </a:ln>
          </c:spPr>
          <c:marker>
            <c:symbol val="none"/>
          </c:marker>
          <c:cat>
            <c:strRef>
              <c:f>'03_S_Kurve_Tidsserie'!$A$5:$A$14</c:f>
              <c:strCache>
                <c:ptCount val="10"/>
                <c:pt idx="0">
                  <c:v>2026-M01</c:v>
                </c:pt>
                <c:pt idx="1">
                  <c:v>2026-M02</c:v>
                </c:pt>
                <c:pt idx="2">
                  <c:v>2026-M03</c:v>
                </c:pt>
                <c:pt idx="3">
                  <c:v>2026-M04</c:v>
                </c:pt>
                <c:pt idx="4">
                  <c:v>2026-M05</c:v>
                </c:pt>
                <c:pt idx="5">
                  <c:v>2026-M06</c:v>
                </c:pt>
                <c:pt idx="6">
                  <c:v>2026-M07</c:v>
                </c:pt>
                <c:pt idx="7">
                  <c:v>2026-M08</c:v>
                </c:pt>
                <c:pt idx="8">
                  <c:v>2026-M09</c:v>
                </c:pt>
                <c:pt idx="9">
                  <c:v>2026-M10</c:v>
                </c:pt>
              </c:strCache>
            </c:strRef>
          </c:cat>
          <c:val>
            <c:numRef>
              <c:f>'03_S_Kurve_Tidsserie'!$E$5:$E$14</c:f>
              <c:numCache>
                <c:formatCode>#,##0\ "NOK"</c:formatCode>
                <c:ptCount val="10"/>
                <c:pt idx="0">
                  <c:v>3400000</c:v>
                </c:pt>
                <c:pt idx="1">
                  <c:v>7000000</c:v>
                </c:pt>
                <c:pt idx="2">
                  <c:v>11200000</c:v>
                </c:pt>
                <c:pt idx="3">
                  <c:v>15900000</c:v>
                </c:pt>
                <c:pt idx="4">
                  <c:v>21100000</c:v>
                </c:pt>
                <c:pt idx="5">
                  <c:v>27000000</c:v>
                </c:pt>
                <c:pt idx="6">
                  <c:v>30500000</c:v>
                </c:pt>
                <c:pt idx="7">
                  <c:v>35200000</c:v>
                </c:pt>
                <c:pt idx="8">
                  <c:v>38500000</c:v>
                </c:pt>
                <c:pt idx="9">
                  <c:v>41700000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E13-4191-918B-17809CF30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Rapporteringsperiode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MNOK</a:t>
                </a:r>
              </a:p>
            </c:rich>
          </c:tx>
          <c:overlay val="1"/>
        </c:title>
        <c:numFmt formatCode="#,##0\ &quot;NOK&quot;" sourceLinked="1"/>
        <c:majorTickMark val="none"/>
        <c:minorTickMark val="none"/>
        <c:tickLblPos val="nextTo"/>
        <c:crossAx val="10"/>
        <c:crosses val="autoZero"/>
        <c:crossBetween val="between"/>
        <c:dispUnits>
          <c:builtInUnit val="millions"/>
          <c:dispUnitsLbl/>
        </c:dispUnits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7365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Eksponert beløp per kontrollområde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7365D"/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'05_Compliance_Internkontroll'!$D$5</c:f>
              <c:strCache>
                <c:ptCount val="1"/>
                <c:pt idx="0">
                  <c:v>Eksponert Beløp</c:v>
                </c:pt>
              </c:strCache>
            </c:strRef>
          </c:tx>
          <c:spPr>
            <a:solidFill>
              <a:srgbClr val="C0504D"/>
            </a:solidFill>
            <a:ln>
              <a:noFill/>
            </a:ln>
            <a:effectLst/>
          </c:spPr>
          <c:invertIfNegative val="0"/>
          <c:dLbls>
            <c:numFmt formatCode="#,##0\ &quot;kr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'05_Compliance_Internkontroll'!$A$6:$A$7</c:f>
              <c:strCache>
                <c:ptCount val="2"/>
                <c:pt idx="0">
                  <c:v>DFØ Reiseregninger (15 stk utvalg)</c:v>
                </c:pt>
                <c:pt idx="1">
                  <c:v>UBW Hovedboksposteringer (transaksjoner)</c:v>
                </c:pt>
              </c:strCache>
            </c:strRef>
          </c:cat>
          <c:val>
            <c:numRef>
              <c:f>'05_Compliance_Internkontroll'!$D$6:$D$7</c:f>
              <c:numCache>
                <c:formatCode>#,##0\ "NOK"</c:formatCode>
                <c:ptCount val="2"/>
                <c:pt idx="0">
                  <c:v>19420</c:v>
                </c:pt>
                <c:pt idx="1">
                  <c:v>4450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FB-42B2-B188-0A18F7F7D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75216544"/>
        <c:axId val="1670081488"/>
      </c:barChart>
      <c:catAx>
        <c:axId val="15752165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70081488"/>
        <c:crosses val="autoZero"/>
        <c:auto val="1"/>
        <c:lblAlgn val="ctr"/>
        <c:lblOffset val="100"/>
        <c:noMultiLvlLbl val="0"/>
      </c:catAx>
      <c:valAx>
        <c:axId val="1670081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NOK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#,##0\ &quot;NO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57521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</xdr:row>
      <xdr:rowOff>0</xdr:rowOff>
    </xdr:from>
    <xdr:to>
      <xdr:col>10</xdr:col>
      <xdr:colOff>0</xdr:colOff>
      <xdr:row>20</xdr:row>
      <xdr:rowOff>0</xdr:rowOff>
    </xdr:to>
    <xdr:graphicFrame macro="">
      <xdr:nvGraphicFramePr>
        <xdr:cNvPr id="3" name="Prosjektstatus RAG">
          <a:extLst>
            <a:ext uri="{FF2B5EF4-FFF2-40B4-BE49-F238E27FC236}">
              <a16:creationId xmlns:a16="http://schemas.microsoft.com/office/drawing/2014/main" id="{DDE63423-4191-3A82-B604-A63620AA02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33</xdr:row>
      <xdr:rowOff>101600</xdr:rowOff>
    </xdr:from>
    <xdr:to>
      <xdr:col>2</xdr:col>
      <xdr:colOff>184150</xdr:colOff>
      <xdr:row>56</xdr:row>
      <xdr:rowOff>57150</xdr:rowOff>
    </xdr:to>
    <xdr:graphicFrame macro="">
      <xdr:nvGraphicFramePr>
        <xdr:cNvPr id="2" name="BAC vs Aktiv EAC">
          <a:extLst>
            <a:ext uri="{FF2B5EF4-FFF2-40B4-BE49-F238E27FC236}">
              <a16:creationId xmlns:a16="http://schemas.microsoft.com/office/drawing/2014/main" id="{AD6583E5-15ED-495A-E849-23EF62073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17</xdr:row>
      <xdr:rowOff>63500</xdr:rowOff>
    </xdr:from>
    <xdr:to>
      <xdr:col>1</xdr:col>
      <xdr:colOff>2070100</xdr:colOff>
      <xdr:row>40</xdr:row>
      <xdr:rowOff>19050</xdr:rowOff>
    </xdr:to>
    <xdr:graphicFrame macro="">
      <xdr:nvGraphicFramePr>
        <xdr:cNvPr id="2" name="CPI og SPI per prosjekt">
          <a:extLst>
            <a:ext uri="{FF2B5EF4-FFF2-40B4-BE49-F238E27FC236}">
              <a16:creationId xmlns:a16="http://schemas.microsoft.com/office/drawing/2014/main" id="{954AEAE7-7E74-F393-E07E-2CA4DD0BEA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127000</xdr:colOff>
      <xdr:row>19</xdr:row>
      <xdr:rowOff>38100</xdr:rowOff>
    </xdr:from>
    <xdr:ext cx="9906000" cy="419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1</xdr:col>
      <xdr:colOff>349250</xdr:colOff>
      <xdr:row>22</xdr:row>
      <xdr:rowOff>57150</xdr:rowOff>
    </xdr:from>
    <xdr:to>
      <xdr:col>2</xdr:col>
      <xdr:colOff>838200</xdr:colOff>
      <xdr:row>24</xdr:row>
      <xdr:rowOff>44450</xdr:rowOff>
    </xdr:to>
    <xdr:sp macro="" textlink="">
      <xdr:nvSpPr>
        <xdr:cNvPr id="4" name="Oktober CV etikett">
          <a:extLst>
            <a:ext uri="{FF2B5EF4-FFF2-40B4-BE49-F238E27FC236}">
              <a16:creationId xmlns:a16="http://schemas.microsoft.com/office/drawing/2014/main" id="{F3FC26DC-82A7-CA12-A86A-CD08015D10CF}"/>
            </a:ext>
          </a:extLst>
        </xdr:cNvPr>
        <xdr:cNvSpPr txBox="1"/>
      </xdr:nvSpPr>
      <xdr:spPr>
        <a:xfrm>
          <a:off x="7683500" y="4508500"/>
          <a:ext cx="2095500" cy="355600"/>
        </a:xfrm>
        <a:prstGeom prst="rect">
          <a:avLst/>
        </a:prstGeom>
        <a:solidFill>
          <a:srgbClr val="F4CCCC"/>
        </a:solidFill>
        <a:ln>
          <a:solidFill>
            <a:srgbClr val="C00000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nb-NO" sz="1100" b="1" i="0" u="none" strike="noStrike" kern="0" cap="none" spc="0" normalizeH="0" baseline="0" noProof="0">
              <a:ln>
                <a:noFill/>
              </a:ln>
              <a:solidFill>
                <a:srgbClr val="9C0006"/>
              </a:solidFill>
              <a:effectLst/>
              <a:uLnTx/>
              <a:uFillTx/>
              <a:latin typeface="Calibri"/>
            </a:rPr>
            <a:t>Oktober CV: -3,3 MNOK</a:t>
          </a:r>
        </a:p>
      </xdr:txBody>
    </xdr:sp>
    <xdr:clientData/>
  </xdr:twoCellAnchor>
  <xdr:twoCellAnchor>
    <xdr:from>
      <xdr:col>1</xdr:col>
      <xdr:colOff>349250</xdr:colOff>
      <xdr:row>24</xdr:row>
      <xdr:rowOff>120650</xdr:rowOff>
    </xdr:from>
    <xdr:to>
      <xdr:col>2</xdr:col>
      <xdr:colOff>838200</xdr:colOff>
      <xdr:row>26</xdr:row>
      <xdr:rowOff>107950</xdr:rowOff>
    </xdr:to>
    <xdr:sp macro="" textlink="">
      <xdr:nvSpPr>
        <xdr:cNvPr id="5" name="Oktober SV etikett">
          <a:extLst>
            <a:ext uri="{FF2B5EF4-FFF2-40B4-BE49-F238E27FC236}">
              <a16:creationId xmlns:a16="http://schemas.microsoft.com/office/drawing/2014/main" id="{01B6287C-AEDB-661F-DF25-B291C1F7AC7A}"/>
            </a:ext>
          </a:extLst>
        </xdr:cNvPr>
        <xdr:cNvSpPr txBox="1"/>
      </xdr:nvSpPr>
      <xdr:spPr>
        <a:xfrm>
          <a:off x="7683500" y="4940300"/>
          <a:ext cx="2095500" cy="355600"/>
        </a:xfrm>
        <a:prstGeom prst="rect">
          <a:avLst/>
        </a:prstGeom>
        <a:solidFill>
          <a:srgbClr val="FCE5CD"/>
        </a:solidFill>
        <a:ln>
          <a:solidFill>
            <a:srgbClr val="E26B0A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nb-NO" sz="1100" b="1" i="0" u="none" strike="noStrike" kern="0" cap="none" spc="0" normalizeH="0" baseline="0" noProof="0">
              <a:ln>
                <a:noFill/>
              </a:ln>
              <a:solidFill>
                <a:srgbClr val="9C5700"/>
              </a:solidFill>
              <a:effectLst/>
              <a:uLnTx/>
              <a:uFillTx/>
              <a:latin typeface="Calibri"/>
            </a:rPr>
            <a:t>Oktober SV: -2,6 MNOK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33</xdr:row>
      <xdr:rowOff>88900</xdr:rowOff>
    </xdr:from>
    <xdr:to>
      <xdr:col>2</xdr:col>
      <xdr:colOff>1587500</xdr:colOff>
      <xdr:row>54</xdr:row>
      <xdr:rowOff>31750</xdr:rowOff>
    </xdr:to>
    <xdr:graphicFrame macro="">
      <xdr:nvGraphicFramePr>
        <xdr:cNvPr id="2" name="Eksponert beløp per kontrollområde">
          <a:extLst>
            <a:ext uri="{FF2B5EF4-FFF2-40B4-BE49-F238E27FC236}">
              <a16:creationId xmlns:a16="http://schemas.microsoft.com/office/drawing/2014/main" id="{294BBB07-AF98-1453-2492-649AF353D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Dim_Project" displayName="tbl_Dim_Project" ref="A1:G10">
  <autoFilter ref="A1:G10" xr:uid="{00000000-0009-0000-0100-000001000000}"/>
  <tableColumns count="7">
    <tableColumn id="1" xr3:uid="{00000000-0010-0000-0000-000001000000}" name="project_id"/>
    <tableColumn id="2" xr3:uid="{00000000-0010-0000-0000-000002000000}" name="project_name"/>
    <tableColumn id="3" xr3:uid="{00000000-0010-0000-0000-000003000000}" name="department"/>
    <tableColumn id="4" xr3:uid="{00000000-0010-0000-0000-000004000000}" name="pm_name"/>
    <tableColumn id="5" xr3:uid="{00000000-0010-0000-0000-000005000000}" name="category"/>
    <tableColumn id="6" xr3:uid="{00000000-0010-0000-0000-000006000000}" name="bac"/>
    <tableColumn id="7" xr3:uid="{00000000-0010-0000-0000-000007000000}" name="statu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im_Date" displayName="tbl_Dim_Date" ref="A1:F366">
  <autoFilter ref="A1:F366" xr:uid="{00000000-0009-0000-0100-000002000000}"/>
  <tableColumns count="6">
    <tableColumn id="1" xr3:uid="{00000000-0010-0000-0100-000001000000}" name="Date"/>
    <tableColumn id="2" xr3:uid="{00000000-0010-0000-0100-000002000000}" name="Year"/>
    <tableColumn id="3" xr3:uid="{00000000-0010-0000-0100-000003000000}" name="Month"/>
    <tableColumn id="4" xr3:uid="{00000000-0010-0000-0100-000004000000}" name="MonthName"/>
    <tableColumn id="5" xr3:uid="{00000000-0010-0000-0100-000005000000}" name="ReportingPeriod"/>
    <tableColumn id="6" xr3:uid="{00000000-0010-0000-0100-000006000000}" name="Quarter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Dim_Parameters" displayName="tbl_Dim_Parameters" ref="A1:F4">
  <autoFilter ref="A1:F4" xr:uid="{00000000-0009-0000-0100-000003000000}"/>
  <tableColumns count="6">
    <tableColumn id="1" xr3:uid="{00000000-0010-0000-0200-000001000000}" name="ModelCode"/>
    <tableColumn id="2" xr3:uid="{00000000-0010-0000-0200-000002000000}" name="ModelName"/>
    <tableColumn id="3" xr3:uid="{00000000-0010-0000-0200-000003000000}" name="Formula_Logic"/>
    <tableColumn id="4" xr3:uid="{00000000-0010-0000-0200-000004000000}" name="Cost_Weight"/>
    <tableColumn id="5" xr3:uid="{00000000-0010-0000-0200-000005000000}" name="Schedule_Weight"/>
    <tableColumn id="6" xr3:uid="{00000000-0010-0000-0200-000006000000}" name="Description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Fact_EVM" displayName="tbl_Fact_EVM" ref="A1:O9">
  <autoFilter ref="A1:O9" xr:uid="{00000000-0009-0000-0100-000004000000}"/>
  <tableColumns count="15">
    <tableColumn id="1" xr3:uid="{00000000-0010-0000-0300-000001000000}" name="reporting_period"/>
    <tableColumn id="2" xr3:uid="{00000000-0010-0000-0300-000002000000}" name="snapshot_timestamp"/>
    <tableColumn id="3" xr3:uid="{00000000-0010-0000-0300-000003000000}" name="project_id"/>
    <tableColumn id="4" xr3:uid="{00000000-0010-0000-0300-000004000000}" name="bac"/>
    <tableColumn id="5" xr3:uid="{00000000-0010-0000-0300-000005000000}" name="pv"/>
    <tableColumn id="6" xr3:uid="{00000000-0010-0000-0300-000006000000}" name="ev"/>
    <tableColumn id="7" xr3:uid="{00000000-0010-0000-0300-000007000000}" name="ac"/>
    <tableColumn id="8" xr3:uid="{00000000-0010-0000-0300-000008000000}" name="cpi"/>
    <tableColumn id="9" xr3:uid="{00000000-0010-0000-0300-000009000000}" name="spi"/>
    <tableColumn id="10" xr3:uid="{00000000-0010-0000-0300-00000A000000}" name="eac_cpi"/>
    <tableColumn id="11" xr3:uid="{00000000-0010-0000-0300-00000B000000}" name="eac_composite"/>
    <tableColumn id="12" xr3:uid="{00000000-0010-0000-0300-00000C000000}" name="eac_weighted"/>
    <tableColumn id="13" xr3:uid="{00000000-0010-0000-0300-00000D000000}" name="vac"/>
    <tableColumn id="14" xr3:uid="{00000000-0010-0000-0300-00000E000000}" name="tcpi"/>
    <tableColumn id="15" xr3:uid="{00000000-0010-0000-0300-00000F000000}" name="statu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Fact_UBW" displayName="tbl_Fact_UBW" ref="A1:I6">
  <autoFilter ref="A1:I6" xr:uid="{00000000-0009-0000-0100-000005000000}"/>
  <tableColumns count="9">
    <tableColumn id="1" xr3:uid="{00000000-0010-0000-0400-000001000000}" name="transaksjon_id"/>
    <tableColumn id="2" xr3:uid="{00000000-0010-0000-0400-000002000000}" name="konto"/>
    <tableColumn id="3" xr3:uid="{00000000-0010-0000-0400-000003000000}" name="beskrivelse"/>
    <tableColumn id="4" xr3:uid="{00000000-0010-0000-0400-000004000000}" name="belop_nok"/>
    <tableColumn id="5" xr3:uid="{00000000-0010-0000-0400-000005000000}" name="bdm_id"/>
    <tableColumn id="6" xr3:uid="{00000000-0010-0000-0400-000006000000}" name="attestant_id"/>
    <tableColumn id="7" xr3:uid="{00000000-0010-0000-0400-000007000000}" name="kvittering_vedlagt"/>
    <tableColumn id="8" xr3:uid="{00000000-0010-0000-0400-000008000000}" name="formaal"/>
    <tableColumn id="9" xr3:uid="{00000000-0010-0000-0400-000009000000}" name="Kontrollflagg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Fact_Travel" displayName="tbl_Fact_Travel" ref="A1:N16">
  <autoFilter ref="A1:N16" xr:uid="{00000000-0009-0000-0100-000006000000}"/>
  <tableColumns count="14">
    <tableColumn id="1" xr3:uid="{00000000-0010-0000-0500-000001000000}" name="Reise-ID"/>
    <tableColumn id="2" xr3:uid="{00000000-0010-0000-0500-000002000000}" name="Ansatt Navn"/>
    <tableColumn id="3" xr3:uid="{00000000-0010-0000-0500-000003000000}" name="Dato"/>
    <tableColumn id="4" xr3:uid="{00000000-0010-0000-0500-000004000000}" name="Formål"/>
    <tableColumn id="5" xr3:uid="{00000000-0010-0000-0500-000005000000}" name="Beløp (NOK)"/>
    <tableColumn id="6" xr3:uid="{00000000-0010-0000-0500-000006000000}" name="Måltid Dekket"/>
    <tableColumn id="7" xr3:uid="{00000000-0010-0000-0500-000007000000}" name="Fradrag Utført"/>
    <tableColumn id="8" xr3:uid="{00000000-0010-0000-0500-000008000000}" name="Km Godtgj."/>
    <tableColumn id="9" xr3:uid="{00000000-0010-0000-0500-000009000000}" name="Kvittering"/>
    <tableColumn id="10" xr3:uid="{00000000-0010-0000-0500-00000A000000}" name="BDM ID"/>
    <tableColumn id="11" xr3:uid="{00000000-0010-0000-0500-00000B000000}" name="Attestant ID"/>
    <tableColumn id="12" xr3:uid="{00000000-0010-0000-0500-00000C000000}" name="Avviksbeskrivelse"/>
    <tableColumn id="13" xr3:uid="{00000000-0010-0000-0500-00000D000000}" name="Audit Status"/>
    <tableColumn id="14" xr3:uid="{00000000-0010-0000-0500-00000E000000}" name="Sperret i Unit4?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Fact_BOA" displayName="tbl_Fact_BOA" ref="A1:R7">
  <autoFilter ref="A1:R7" xr:uid="{00000000-0009-0000-0100-000007000000}"/>
  <tableColumns count="18">
    <tableColumn id="1" xr3:uid="{00000000-0010-0000-0600-000001000000}" name="Prosjekt"/>
    <tableColumn id="2" xr3:uid="{00000000-0010-0000-0600-000002000000}" name="Prosjektnavn"/>
    <tableColumn id="3" xr3:uid="{00000000-0010-0000-0600-000003000000}" name="Finansieringstype"/>
    <tableColumn id="4" xr3:uid="{00000000-0010-0000-0600-000004000000}" name="Finansieringskilde"/>
    <tableColumn id="5" xr3:uid="{00000000-0010-0000-0600-000005000000}" name="Kontraktsbelop"/>
    <tableColumn id="6" xr3:uid="{00000000-0010-0000-0600-000006000000}" name="Budsjett"/>
    <tableColumn id="7" xr3:uid="{00000000-0010-0000-0600-000007000000}" name="Frikjop"/>
    <tableColumn id="8" xr3:uid="{00000000-0010-0000-0600-000008000000}" name="DirekteDrift"/>
    <tableColumn id="9" xr3:uid="{00000000-0010-0000-0600-000009000000}" name="Overhead"/>
    <tableColumn id="10" xr3:uid="{00000000-0010-0000-0600-00000A000000}" name="Leiested"/>
    <tableColumn id="11" xr3:uid="{00000000-0010-0000-0600-00000B000000}" name="PåløptKostnad"/>
    <tableColumn id="12" xr3:uid="{00000000-0010-0000-0600-00000C000000}" name="Inntektsført"/>
    <tableColumn id="13" xr3:uid="{00000000-0010-0000-0600-00000D000000}" name="Dekningsgrad"/>
    <tableColumn id="14" xr3:uid="{00000000-0010-0000-0600-00000E000000}" name="%TidGått"/>
    <tableColumn id="15" xr3:uid="{00000000-0010-0000-0600-00000F000000}" name="%BudsjettForbrukt"/>
    <tableColumn id="16" xr3:uid="{00000000-0010-0000-0600-000010000000}" name="Forbruksavvik"/>
    <tableColumn id="17" xr3:uid="{00000000-0010-0000-0600-000011000000}" name="RAG_Status"/>
    <tableColumn id="18" xr3:uid="{00000000-0010-0000-0600-000012000000}" name="StatusMerknad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Dim_Kontoplan" displayName="tbl_Dim_Kontoplan" ref="A1:H30">
  <autoFilter ref="A1:H30" xr:uid="{00000000-0009-0000-0100-000008000000}"/>
  <tableColumns count="8">
    <tableColumn id="1" xr3:uid="{00000000-0010-0000-0700-000001000000}" name="Konto"/>
    <tableColumn id="2" xr3:uid="{00000000-0010-0000-0700-000002000000}" name="StandardKonto3"/>
    <tableColumn id="3" xr3:uid="{00000000-0010-0000-0700-000003000000}" name="Kontonavn"/>
    <tableColumn id="4" xr3:uid="{00000000-0010-0000-0700-000004000000}" name="Kontoklasse"/>
    <tableColumn id="5" xr3:uid="{00000000-0010-0000-0700-000005000000}" name="Kontogruppe"/>
    <tableColumn id="6" xr3:uid="{00000000-0010-0000-0700-000006000000}" name="Kontotype"/>
    <tableColumn id="7" xr3:uid="{00000000-0010-0000-0700-000007000000}" name="SRS_regnskapslinje"/>
    <tableColumn id="8" xr3:uid="{00000000-0010-0000-0700-000008000000}" name="AktuellFo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CA3C5-C3B9-4145-9397-D1939A1B6E2A}">
  <dimension ref="A1:J32"/>
  <sheetViews>
    <sheetView showGridLines="0" tabSelected="1" workbookViewId="0">
      <selection sqref="A1:J1"/>
    </sheetView>
  </sheetViews>
  <sheetFormatPr defaultRowHeight="14.5" x14ac:dyDescent="0.35"/>
  <cols>
    <col min="1" max="1" width="13.6328125" customWidth="1"/>
    <col min="2" max="3" width="16.36328125" customWidth="1"/>
    <col min="4" max="7" width="18.1796875" customWidth="1"/>
    <col min="8" max="9" width="16.36328125" customWidth="1"/>
    <col min="10" max="10" width="15.453125" customWidth="1"/>
  </cols>
  <sheetData>
    <row r="1" spans="1:10" ht="34" customHeight="1" x14ac:dyDescent="0.35">
      <c r="A1" s="79" t="s">
        <v>941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2" customHeight="1" x14ac:dyDescent="0.35">
      <c r="A2" s="80" t="s">
        <v>942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x14ac:dyDescent="0.35">
      <c r="A3" s="81"/>
      <c r="B3" s="81"/>
      <c r="C3" s="81"/>
      <c r="D3" s="81"/>
      <c r="E3" s="81"/>
      <c r="F3" s="81"/>
      <c r="G3" s="81"/>
      <c r="H3" s="81"/>
      <c r="I3" s="81"/>
      <c r="J3" s="81"/>
    </row>
    <row r="4" spans="1:10" x14ac:dyDescent="0.35">
      <c r="A4" s="82" t="s">
        <v>943</v>
      </c>
      <c r="B4" s="82"/>
      <c r="C4" s="82" t="s">
        <v>944</v>
      </c>
      <c r="D4" s="82"/>
      <c r="E4" s="82" t="s">
        <v>945</v>
      </c>
      <c r="F4" s="82"/>
      <c r="G4" s="82" t="s">
        <v>152</v>
      </c>
      <c r="H4" s="82"/>
      <c r="I4" s="82" t="s">
        <v>153</v>
      </c>
      <c r="J4" s="82"/>
    </row>
    <row r="5" spans="1:10" ht="30" customHeight="1" x14ac:dyDescent="0.35">
      <c r="A5" s="75">
        <f>'02_EVM_Prosjektkontroll'!C14</f>
        <v>92200000</v>
      </c>
      <c r="B5" s="76"/>
      <c r="C5" s="75">
        <f>'02_EVM_Prosjektkontroll'!N14</f>
        <v>103191811.47007298</v>
      </c>
      <c r="D5" s="76"/>
      <c r="E5" s="75">
        <f>'02_EVM_Prosjektkontroll'!O14</f>
        <v>-10991811.470072985</v>
      </c>
      <c r="F5" s="76"/>
      <c r="G5" s="77">
        <f>'02_EVM_Prosjektkontroll'!I14</f>
        <v>0.93124204190299809</v>
      </c>
      <c r="H5" s="76"/>
      <c r="I5" s="77">
        <f>'02_EVM_Prosjektkontroll'!J14</f>
        <v>0.93185328185328187</v>
      </c>
      <c r="J5" s="76"/>
    </row>
    <row r="6" spans="1:10" ht="30" customHeight="1" x14ac:dyDescent="0.35">
      <c r="A6" s="78"/>
      <c r="B6" s="78"/>
      <c r="C6" s="78"/>
      <c r="D6" s="78"/>
      <c r="E6" s="78"/>
      <c r="F6" s="78"/>
      <c r="G6" s="78"/>
      <c r="H6" s="78"/>
      <c r="I6" s="78"/>
      <c r="J6" s="78"/>
    </row>
    <row r="7" spans="1:10" x14ac:dyDescent="0.35">
      <c r="A7" s="81"/>
      <c r="B7" s="81"/>
      <c r="C7" s="81"/>
      <c r="D7" s="81"/>
      <c r="E7" s="81"/>
      <c r="F7" s="81"/>
      <c r="G7" s="81"/>
      <c r="H7" s="81"/>
      <c r="I7" s="81"/>
      <c r="J7" s="81"/>
    </row>
    <row r="8" spans="1:10" x14ac:dyDescent="0.35">
      <c r="A8" s="83" t="s">
        <v>946</v>
      </c>
      <c r="B8" s="83"/>
      <c r="C8" s="83"/>
      <c r="D8" s="83"/>
      <c r="E8" s="81"/>
      <c r="F8" s="81"/>
      <c r="G8" s="81"/>
      <c r="H8" s="81"/>
      <c r="I8" s="81"/>
      <c r="J8" s="81"/>
    </row>
    <row r="9" spans="1:10" x14ac:dyDescent="0.35">
      <c r="A9" s="84" t="s">
        <v>947</v>
      </c>
      <c r="B9" s="84" t="s">
        <v>948</v>
      </c>
      <c r="C9" s="84" t="s">
        <v>949</v>
      </c>
      <c r="D9" s="84" t="s">
        <v>950</v>
      </c>
      <c r="E9" s="81"/>
      <c r="F9" s="81"/>
      <c r="G9" s="81"/>
      <c r="H9" s="81"/>
      <c r="I9" s="81"/>
      <c r="J9" s="81"/>
    </row>
    <row r="10" spans="1:10" ht="22" customHeight="1" x14ac:dyDescent="0.35">
      <c r="A10" s="81" t="s">
        <v>402</v>
      </c>
      <c r="B10" s="81">
        <f>COUNTIF(Dim_Project!$G$2:$G$10,A10)</f>
        <v>5</v>
      </c>
      <c r="C10" s="85">
        <f>B10/SUM($B$10:$B$12)</f>
        <v>0.55555555555555558</v>
      </c>
      <c r="D10" s="86">
        <f>SUMIF(Dim_Project!$G$2:$G$10,A10,Dim_Project!$F$2:$F$10)</f>
        <v>33800000</v>
      </c>
      <c r="E10" s="81"/>
      <c r="F10" s="81"/>
      <c r="G10" s="81"/>
      <c r="H10" s="81"/>
      <c r="I10" s="81"/>
      <c r="J10" s="81"/>
    </row>
    <row r="11" spans="1:10" ht="22" customHeight="1" x14ac:dyDescent="0.35">
      <c r="A11" s="81" t="s">
        <v>413</v>
      </c>
      <c r="B11" s="81">
        <f>COUNTIF(Dim_Project!$G$2:$G$10,A11)</f>
        <v>1</v>
      </c>
      <c r="C11" s="85">
        <f t="shared" ref="C11:C12" si="0">B11/SUM($B$10:$B$12)</f>
        <v>0.1111111111111111</v>
      </c>
      <c r="D11" s="86">
        <f>SUMIF(Dim_Project!$G$2:$G$10,A11,Dim_Project!$F$2:$F$10)</f>
        <v>4000000</v>
      </c>
      <c r="E11" s="81"/>
      <c r="F11" s="81"/>
      <c r="G11" s="81"/>
      <c r="H11" s="81"/>
      <c r="I11" s="81"/>
      <c r="J11" s="81"/>
    </row>
    <row r="12" spans="1:10" ht="22" customHeight="1" x14ac:dyDescent="0.35">
      <c r="A12" s="81" t="s">
        <v>406</v>
      </c>
      <c r="B12" s="81">
        <f>COUNTIF(Dim_Project!$G$2:$G$10,A12)</f>
        <v>3</v>
      </c>
      <c r="C12" s="85">
        <f t="shared" si="0"/>
        <v>0.33333333333333331</v>
      </c>
      <c r="D12" s="86">
        <f>SUMIF(Dim_Project!$G$2:$G$10,A12,Dim_Project!$F$2:$F$10)</f>
        <v>54400000</v>
      </c>
      <c r="E12" s="81"/>
      <c r="F12" s="81"/>
      <c r="G12" s="81"/>
      <c r="H12" s="81"/>
      <c r="I12" s="81"/>
      <c r="J12" s="81"/>
    </row>
    <row r="13" spans="1:10" x14ac:dyDescent="0.35">
      <c r="A13" s="81"/>
      <c r="B13" s="81"/>
      <c r="C13" s="81"/>
      <c r="D13" s="81"/>
      <c r="E13" s="81"/>
      <c r="F13" s="81"/>
      <c r="G13" s="81"/>
      <c r="H13" s="81"/>
      <c r="I13" s="81"/>
      <c r="J13" s="81"/>
    </row>
    <row r="14" spans="1:10" x14ac:dyDescent="0.35">
      <c r="A14" s="81"/>
      <c r="B14" s="81"/>
      <c r="C14" s="81"/>
      <c r="D14" s="81"/>
      <c r="E14" s="81"/>
      <c r="F14" s="81"/>
      <c r="G14" s="81"/>
      <c r="H14" s="81"/>
      <c r="I14" s="81"/>
      <c r="J14" s="81"/>
    </row>
    <row r="15" spans="1:10" x14ac:dyDescent="0.35">
      <c r="A15" s="83" t="s">
        <v>951</v>
      </c>
      <c r="B15" s="83"/>
      <c r="C15" s="83"/>
      <c r="D15" s="83"/>
      <c r="E15" s="83"/>
      <c r="F15" s="81"/>
      <c r="G15" s="81"/>
      <c r="H15" s="81"/>
      <c r="I15" s="81"/>
      <c r="J15" s="81"/>
    </row>
    <row r="16" spans="1:10" x14ac:dyDescent="0.35">
      <c r="A16" s="84" t="s">
        <v>35</v>
      </c>
      <c r="B16" s="84" t="s">
        <v>952</v>
      </c>
      <c r="C16" s="84" t="s">
        <v>953</v>
      </c>
      <c r="D16" s="84" t="s">
        <v>954</v>
      </c>
      <c r="E16" s="84" t="s">
        <v>947</v>
      </c>
      <c r="F16" s="81"/>
      <c r="G16" s="81"/>
      <c r="H16" s="81"/>
      <c r="I16" s="81"/>
      <c r="J16" s="81"/>
    </row>
    <row r="17" spans="1:10" ht="24" customHeight="1" x14ac:dyDescent="0.35">
      <c r="A17" s="81" t="s">
        <v>955</v>
      </c>
      <c r="B17" s="87">
        <f>'04_F05_20_Avsetningskalkyle'!C8</f>
        <v>0.06</v>
      </c>
      <c r="C17" s="87">
        <f>'04_F05_20_Avsetningskalkyle'!C7</f>
        <v>0.05</v>
      </c>
      <c r="D17" s="87">
        <f>B17-C17</f>
        <v>9.999999999999995E-3</v>
      </c>
      <c r="E17" s="81" t="str">
        <f>'04_F05_20_Avsetningskalkyle'!D9</f>
        <v>DISPENSASJON PÅKREVD: Risiko for at KD inndrar midler</v>
      </c>
      <c r="F17" s="81"/>
      <c r="G17" s="81"/>
      <c r="H17" s="81"/>
      <c r="I17" s="81"/>
      <c r="J17" s="81"/>
    </row>
    <row r="18" spans="1:10" ht="24" customHeight="1" x14ac:dyDescent="0.35">
      <c r="A18" s="81" t="s">
        <v>956</v>
      </c>
      <c r="B18" s="87">
        <f>'04_F05_20_Avsetningskalkyle'!C23</f>
        <v>0.05</v>
      </c>
      <c r="C18" s="87">
        <f>'04_F05_20_Avsetningskalkyle'!C7</f>
        <v>0.05</v>
      </c>
      <c r="D18" s="87">
        <f>B18-C18</f>
        <v>0</v>
      </c>
      <c r="E18" s="81" t="str">
        <f>'04_F05_20_Avsetningskalkyle'!B25</f>
        <v>MÅL OPPNÅDD: INNENFOR 5,0 % GRENSE</v>
      </c>
      <c r="F18" s="81"/>
      <c r="G18" s="81"/>
      <c r="H18" s="81"/>
      <c r="I18" s="81"/>
      <c r="J18" s="81"/>
    </row>
    <row r="19" spans="1:10" ht="24" customHeight="1" x14ac:dyDescent="0.35">
      <c r="A19" s="81" t="s">
        <v>957</v>
      </c>
      <c r="B19" s="88">
        <f>'05_Compliance_Internkontroll'!C6</f>
        <v>7</v>
      </c>
      <c r="C19" s="88">
        <v>0</v>
      </c>
      <c r="D19" s="88">
        <f>B19-C19</f>
        <v>7</v>
      </c>
      <c r="E19" s="81" t="str">
        <f>'05_Compliance_Internkontroll'!E6</f>
        <v>7 Sperret for utbetaling</v>
      </c>
      <c r="F19" s="81"/>
      <c r="G19" s="81"/>
      <c r="H19" s="81"/>
      <c r="I19" s="81"/>
      <c r="J19" s="81"/>
    </row>
    <row r="20" spans="1:10" ht="24" customHeight="1" x14ac:dyDescent="0.35">
      <c r="A20" s="81" t="s">
        <v>958</v>
      </c>
      <c r="B20" s="88">
        <f>'05_Compliance_Internkontroll'!C7</f>
        <v>2</v>
      </c>
      <c r="C20" s="88">
        <v>0</v>
      </c>
      <c r="D20" s="88">
        <f>B20-C20</f>
        <v>2</v>
      </c>
      <c r="E20" s="81" t="str">
        <f>'05_Compliance_Internkontroll'!E7</f>
        <v>1 Egengodkjenning flagget</v>
      </c>
      <c r="F20" s="81"/>
      <c r="G20" s="81"/>
      <c r="H20" s="81"/>
      <c r="I20" s="81"/>
      <c r="J20" s="81"/>
    </row>
    <row r="21" spans="1:10" x14ac:dyDescent="0.35">
      <c r="A21" s="81"/>
      <c r="B21" s="81"/>
      <c r="C21" s="81"/>
      <c r="D21" s="81"/>
      <c r="E21" s="81"/>
      <c r="F21" s="81"/>
      <c r="G21" s="81"/>
      <c r="H21" s="81"/>
      <c r="I21" s="81"/>
      <c r="J21" s="81"/>
    </row>
    <row r="22" spans="1:10" x14ac:dyDescent="0.35">
      <c r="A22" s="81"/>
      <c r="B22" s="81"/>
      <c r="C22" s="81"/>
      <c r="D22" s="81"/>
      <c r="E22" s="81"/>
      <c r="F22" s="81"/>
      <c r="G22" s="81"/>
      <c r="H22" s="81"/>
      <c r="I22" s="81"/>
      <c r="J22" s="81"/>
    </row>
    <row r="23" spans="1:10" x14ac:dyDescent="0.35">
      <c r="A23" s="83" t="s">
        <v>959</v>
      </c>
      <c r="B23" s="83"/>
      <c r="C23" s="83"/>
      <c r="D23" s="83"/>
      <c r="E23" s="83"/>
      <c r="F23" s="83"/>
      <c r="G23" s="83"/>
      <c r="H23" s="83"/>
      <c r="I23" s="83"/>
      <c r="J23" s="83"/>
    </row>
    <row r="24" spans="1:10" x14ac:dyDescent="0.35">
      <c r="A24" s="84" t="s">
        <v>109</v>
      </c>
      <c r="B24" s="89" t="s">
        <v>110</v>
      </c>
      <c r="C24" s="89"/>
      <c r="D24" s="89" t="s">
        <v>960</v>
      </c>
      <c r="E24" s="89"/>
      <c r="F24" s="89" t="s">
        <v>961</v>
      </c>
      <c r="G24" s="89"/>
      <c r="H24" s="89" t="s">
        <v>113</v>
      </c>
      <c r="I24" s="89"/>
      <c r="J24" s="84" t="s">
        <v>114</v>
      </c>
    </row>
    <row r="25" spans="1:10" ht="52" customHeight="1" x14ac:dyDescent="0.35">
      <c r="A25" s="81" t="str">
        <f>'01_Executive_Cockpit'!A24</f>
        <v>P1</v>
      </c>
      <c r="B25" s="90" t="str">
        <f>'01_Executive_Cockpit'!B24</f>
        <v>F-05-20 Avsetningskontroll</v>
      </c>
      <c r="C25" s="90"/>
      <c r="D25" s="90" t="str">
        <f>'01_Executive_Cockpit'!C24</f>
        <v>12,0 MNOK akkumulert over 5 % taket per M10 (inndragningsfare fra KD)</v>
      </c>
      <c r="E25" s="90"/>
      <c r="F25" s="90" t="str">
        <f>'01_Executive_Cockpit'!D24</f>
        <v>Iverksett tiltakskort T1-T4 (9M NOK) + send dispensasjonssøknad for resterende 3M NOK</v>
      </c>
      <c r="G25" s="90"/>
      <c r="H25" s="90" t="str">
        <f>'01_Executive_Cockpit'!E24</f>
        <v>Universitetsdirektør / Dekan</v>
      </c>
      <c r="I25" s="90"/>
      <c r="J25" s="91" t="str">
        <f>'01_Executive_Cockpit'!F24</f>
        <v>15.11.2026</v>
      </c>
    </row>
    <row r="26" spans="1:10" ht="52" customHeight="1" x14ac:dyDescent="0.35">
      <c r="A26" s="81" t="str">
        <f>'01_Executive_Cockpit'!A25</f>
        <v>P1</v>
      </c>
      <c r="B26" s="90" t="str">
        <f>'01_Executive_Cockpit'!B25</f>
        <v>EVM Prosjekt UM-ENG-03</v>
      </c>
      <c r="C26" s="90"/>
      <c r="D26" s="90" t="str">
        <f>'01_Executive_Cockpit'!C25</f>
        <v>Kritisk kostnads- og fremdriftsavvik (CPI 0.76, SPI 0.80, TCPI 2.14)</v>
      </c>
      <c r="E26" s="90"/>
      <c r="F26" s="90" t="str">
        <f>'01_Executive_Cockpit'!D25</f>
        <v>Prosjekteiermøte: Kutt i konsulentomfang og reallokering av vitenskapelig personell</v>
      </c>
      <c r="G26" s="90"/>
      <c r="H26" s="90" t="str">
        <f>'01_Executive_Cockpit'!E25</f>
        <v>Prosjektleder / Dekan</v>
      </c>
      <c r="I26" s="90"/>
      <c r="J26" s="91" t="str">
        <f>'01_Executive_Cockpit'!F25</f>
        <v>20.10.2026</v>
      </c>
    </row>
    <row r="27" spans="1:10" ht="52" customHeight="1" x14ac:dyDescent="0.35">
      <c r="A27" s="81" t="str">
        <f>'01_Executive_Cockpit'!A26</f>
        <v>P1</v>
      </c>
      <c r="B27" s="90" t="str">
        <f>'01_Executive_Cockpit'!B26</f>
        <v>EVM Prosjekt UM-FPV-01</v>
      </c>
      <c r="C27" s="90"/>
      <c r="D27" s="90" t="str">
        <f>'01_Executive_Cockpit'!C26</f>
        <v>Monetært kostnadsavvik -2,1 MNOK mot planlagt fremdrift (CPI 0.91)</v>
      </c>
      <c r="E27" s="90"/>
      <c r="F27" s="90" t="str">
        <f>'01_Executive_Cockpit'!D26</f>
        <v>Revidert innkjøpsplan for maritim lab for å fange stordriftsfordeler</v>
      </c>
      <c r="G27" s="90"/>
      <c r="H27" s="90" t="str">
        <f>'01_Executive_Cockpit'!E26</f>
        <v>Prosjektleder / Kontorsjef</v>
      </c>
      <c r="I27" s="90"/>
      <c r="J27" s="91" t="str">
        <f>'01_Executive_Cockpit'!F26</f>
        <v>01.11.2026</v>
      </c>
    </row>
    <row r="28" spans="1:10" ht="52" customHeight="1" x14ac:dyDescent="0.35">
      <c r="A28" s="81" t="str">
        <f>'01_Executive_Cockpit'!A27</f>
        <v>P2</v>
      </c>
      <c r="B28" s="90" t="str">
        <f>'01_Executive_Cockpit'!B27</f>
        <v>DFØ Internkontroll</v>
      </c>
      <c r="C28" s="90"/>
      <c r="D28" s="90" t="str">
        <f>'01_Executive_Cockpit'!C27</f>
        <v>2 tilfeller av egengodkjenning av reiser (brudd på UiA fullmaktsmatrise)</v>
      </c>
      <c r="E28" s="90"/>
      <c r="F28" s="90" t="str">
        <f>'01_Executive_Cockpit'!D27</f>
        <v>Omruting av bilag til overordnet leder for gyldig atestasjon; sperr utbetaling i Unit4</v>
      </c>
      <c r="G28" s="90"/>
      <c r="H28" s="90" t="str">
        <f>'01_Executive_Cockpit'!E27</f>
        <v>Regnskapssjef</v>
      </c>
      <c r="I28" s="90"/>
      <c r="J28" s="91" t="str">
        <f>'01_Executive_Cockpit'!F27</f>
        <v>12.10.2026</v>
      </c>
    </row>
    <row r="29" spans="1:10" ht="52" customHeight="1" x14ac:dyDescent="0.35">
      <c r="A29" s="81" t="str">
        <f>'01_Executive_Cockpit'!A28</f>
        <v>P2</v>
      </c>
      <c r="B29" s="90" t="str">
        <f>'01_Executive_Cockpit'!B28</f>
        <v>DFØ Måltidskontroll</v>
      </c>
      <c r="C29" s="90"/>
      <c r="D29" s="90" t="str">
        <f>'01_Executive_Cockpit'!C28</f>
        <v>5 tilfeller av manglende diettfradrag (hotellfrokost/lunsj inkludert)</v>
      </c>
      <c r="E29" s="90"/>
      <c r="F29" s="90" t="str">
        <f>'01_Executive_Cockpit'!D28</f>
        <v>Automatisk diettkorreksjon på neste lønnskjøring i henhold til statens satser</v>
      </c>
      <c r="G29" s="90"/>
      <c r="H29" s="90" t="str">
        <f>'01_Executive_Cockpit'!E28</f>
        <v>Lønnscontroller</v>
      </c>
      <c r="I29" s="90"/>
      <c r="J29" s="91" t="str">
        <f>'01_Executive_Cockpit'!F28</f>
        <v>15.10.2026</v>
      </c>
    </row>
    <row r="30" spans="1:10" x14ac:dyDescent="0.35">
      <c r="A30" s="74"/>
      <c r="B30" s="74"/>
      <c r="C30" s="74"/>
      <c r="D30" s="74"/>
      <c r="E30" s="74"/>
      <c r="F30" s="74"/>
      <c r="G30" s="74"/>
      <c r="H30" s="74"/>
      <c r="I30" s="74"/>
      <c r="J30" s="74"/>
    </row>
    <row r="31" spans="1:10" x14ac:dyDescent="0.35">
      <c r="A31" s="74"/>
      <c r="B31" s="74"/>
      <c r="C31" s="74"/>
      <c r="D31" s="74"/>
      <c r="E31" s="74"/>
      <c r="F31" s="74"/>
      <c r="G31" s="74"/>
      <c r="H31" s="74"/>
      <c r="I31" s="74"/>
      <c r="J31" s="74"/>
    </row>
    <row r="32" spans="1:10" x14ac:dyDescent="0.35">
      <c r="A32" s="74"/>
      <c r="B32" s="74"/>
      <c r="C32" s="74"/>
      <c r="D32" s="74"/>
      <c r="E32" s="74"/>
      <c r="F32" s="74"/>
      <c r="G32" s="74"/>
      <c r="H32" s="74"/>
      <c r="I32" s="74"/>
      <c r="J32" s="74"/>
    </row>
  </sheetData>
  <mergeCells count="39">
    <mergeCell ref="B29:C29"/>
    <mergeCell ref="D29:E29"/>
    <mergeCell ref="F29:G29"/>
    <mergeCell ref="H29:I29"/>
    <mergeCell ref="B27:C27"/>
    <mergeCell ref="D27:E27"/>
    <mergeCell ref="F27:G27"/>
    <mergeCell ref="H27:I27"/>
    <mergeCell ref="B28:C28"/>
    <mergeCell ref="D28:E28"/>
    <mergeCell ref="F28:G28"/>
    <mergeCell ref="H28:I28"/>
    <mergeCell ref="B25:C25"/>
    <mergeCell ref="D25:E25"/>
    <mergeCell ref="F25:G25"/>
    <mergeCell ref="H25:I25"/>
    <mergeCell ref="B26:C26"/>
    <mergeCell ref="D26:E26"/>
    <mergeCell ref="F26:G26"/>
    <mergeCell ref="H26:I26"/>
    <mergeCell ref="A15:E15"/>
    <mergeCell ref="A23:J23"/>
    <mergeCell ref="B24:C24"/>
    <mergeCell ref="D24:E24"/>
    <mergeCell ref="F24:G24"/>
    <mergeCell ref="H24:I24"/>
    <mergeCell ref="A5:B6"/>
    <mergeCell ref="C5:D6"/>
    <mergeCell ref="E5:F6"/>
    <mergeCell ref="G5:H6"/>
    <mergeCell ref="I5:J6"/>
    <mergeCell ref="A8:D8"/>
    <mergeCell ref="A1:J1"/>
    <mergeCell ref="A2:J2"/>
    <mergeCell ref="A4:B4"/>
    <mergeCell ref="C4:D4"/>
    <mergeCell ref="E4:F4"/>
    <mergeCell ref="G4:H4"/>
    <mergeCell ref="I4:J4"/>
  </mergeCells>
  <conditionalFormatting sqref="A10:D12">
    <cfRule type="expression" dxfId="8" priority="1">
      <formula>$A10="ON TRACK"</formula>
    </cfRule>
  </conditionalFormatting>
  <conditionalFormatting sqref="A10:D12">
    <cfRule type="expression" dxfId="7" priority="2">
      <formula>$A10="WARNING"</formula>
    </cfRule>
  </conditionalFormatting>
  <conditionalFormatting sqref="A10:D12">
    <cfRule type="expression" dxfId="6" priority="3">
      <formula>$A10="CRITICAL"</formula>
    </cfRule>
  </conditionalFormatting>
  <conditionalFormatting sqref="E17:E20">
    <cfRule type="expression" dxfId="5" priority="4">
      <formula>OR(ISNUMBER(SEARCH("MÅL OPPNÅDD",$E17)),ISNUMBER(SEARCH("etablert",$E17)))</formula>
    </cfRule>
  </conditionalFormatting>
  <conditionalFormatting sqref="E17:E20">
    <cfRule type="expression" dxfId="4" priority="5">
      <formula>OR(ISNUMBER(SEARCH("DISPENSASJON",$E17)),ISNUMBER(SEARCH("Sperret",$E17)),ISNUMBER(SEARCH("flagget",$E17)))</formula>
    </cfRule>
  </conditionalFormatting>
  <conditionalFormatting sqref="A25:A29">
    <cfRule type="expression" dxfId="3" priority="6">
      <formula>$A25="P1"</formula>
    </cfRule>
  </conditionalFormatting>
  <conditionalFormatting sqref="A25:A29">
    <cfRule type="expression" dxfId="2" priority="7">
      <formula>$A25="P2"</formula>
    </cfRule>
  </conditionalFormatting>
  <conditionalFormatting sqref="E5:F6">
    <cfRule type="expression" dxfId="1" priority="8">
      <formula>$E$5&lt;0</formula>
    </cfRule>
  </conditionalFormatting>
  <conditionalFormatting sqref="E5:F6">
    <cfRule type="expression" dxfId="0" priority="9">
      <formula>$E$5&gt;=0</formula>
    </cfRule>
  </conditionalFormatting>
  <conditionalFormatting sqref="D10:D12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{68A5342B-C4DD-4D13-81CF-8A3A66435D25}</x14:id>
        </ext>
      </extLst>
    </cfRule>
  </conditionalFormatting>
  <conditionalFormatting sqref="G5:H6">
    <cfRule type="iconSet" priority="11">
      <iconSet>
        <cfvo type="percent" val="0"/>
        <cfvo type="num" val="0.9"/>
        <cfvo type="num" val="1"/>
      </iconSet>
    </cfRule>
  </conditionalFormatting>
  <conditionalFormatting sqref="I5:J6">
    <cfRule type="iconSet" priority="12">
      <iconSet>
        <cfvo type="percent" val="0"/>
        <cfvo type="num" val="0.9"/>
        <cfvo type="num" val="1"/>
      </iconSe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A5342B-C4DD-4D13-81CF-8A3A66435D25}">
            <x14:dataBar minLength="0" maxLength="100" negativeBarColorSameAsPositive="1" axisPosition="none">
              <x14:cfvo type="min"/>
              <x14:cfvo type="max"/>
            </x14:dataBar>
          </x14:cfRule>
          <xm:sqref>D10:D12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opLeftCell="A22" workbookViewId="0"/>
  </sheetViews>
  <sheetFormatPr defaultRowHeight="14.5" x14ac:dyDescent="0.35"/>
  <cols>
    <col min="1" max="1" width="107" customWidth="1"/>
    <col min="2" max="2" width="42" customWidth="1"/>
    <col min="3" max="3" width="81" customWidth="1"/>
    <col min="4" max="4" width="70" customWidth="1"/>
  </cols>
  <sheetData>
    <row r="1" spans="1:4" ht="25" x14ac:dyDescent="0.7">
      <c r="A1" s="1" t="s">
        <v>0</v>
      </c>
    </row>
    <row r="2" spans="1:4" ht="16" x14ac:dyDescent="0.45">
      <c r="A2" s="2" t="s">
        <v>1</v>
      </c>
    </row>
    <row r="4" spans="1:4" ht="17.5" x14ac:dyDescent="0.45">
      <c r="A4" s="3" t="s">
        <v>2</v>
      </c>
    </row>
    <row r="5" spans="1:4" ht="16" x14ac:dyDescent="0.45">
      <c r="A5" s="4" t="s">
        <v>3</v>
      </c>
      <c r="B5" s="4" t="s">
        <v>4</v>
      </c>
      <c r="C5" s="4" t="s">
        <v>5</v>
      </c>
      <c r="D5" s="4" t="s">
        <v>6</v>
      </c>
    </row>
    <row r="6" spans="1:4" ht="16" x14ac:dyDescent="0.45">
      <c r="A6" s="5" t="s">
        <v>7</v>
      </c>
      <c r="B6" s="6" t="s">
        <v>8</v>
      </c>
      <c r="C6" s="7" t="s">
        <v>9</v>
      </c>
      <c r="D6" s="6" t="s">
        <v>10</v>
      </c>
    </row>
    <row r="7" spans="1:4" ht="16" x14ac:dyDescent="0.45">
      <c r="A7" s="5" t="s">
        <v>11</v>
      </c>
      <c r="B7" s="6" t="s">
        <v>12</v>
      </c>
      <c r="C7" s="7" t="s">
        <v>13</v>
      </c>
      <c r="D7" s="6" t="s">
        <v>14</v>
      </c>
    </row>
    <row r="8" spans="1:4" ht="16" x14ac:dyDescent="0.45">
      <c r="A8" s="5" t="s">
        <v>15</v>
      </c>
      <c r="B8" s="6" t="s">
        <v>16</v>
      </c>
      <c r="C8" s="7" t="s">
        <v>17</v>
      </c>
      <c r="D8" s="6" t="s">
        <v>18</v>
      </c>
    </row>
    <row r="9" spans="1:4" ht="16" x14ac:dyDescent="0.45">
      <c r="A9" s="5" t="s">
        <v>19</v>
      </c>
      <c r="B9" s="6" t="s">
        <v>20</v>
      </c>
      <c r="C9" s="7" t="s">
        <v>21</v>
      </c>
      <c r="D9" s="6" t="s">
        <v>22</v>
      </c>
    </row>
    <row r="10" spans="1:4" ht="16" x14ac:dyDescent="0.45">
      <c r="A10" s="5" t="s">
        <v>23</v>
      </c>
      <c r="B10" s="8">
        <v>1200000000</v>
      </c>
      <c r="C10" s="7" t="s">
        <v>24</v>
      </c>
      <c r="D10" s="6" t="s">
        <v>25</v>
      </c>
    </row>
    <row r="11" spans="1:4" ht="16" x14ac:dyDescent="0.45">
      <c r="A11" s="5" t="s">
        <v>26</v>
      </c>
      <c r="B11" s="9">
        <v>3.9E-2</v>
      </c>
      <c r="C11" s="7" t="s">
        <v>27</v>
      </c>
      <c r="D11" s="6" t="s">
        <v>28</v>
      </c>
    </row>
    <row r="12" spans="1:4" ht="16" x14ac:dyDescent="0.45">
      <c r="A12" s="5" t="s">
        <v>29</v>
      </c>
      <c r="B12" s="6" t="s">
        <v>30</v>
      </c>
      <c r="C12" s="7" t="s">
        <v>31</v>
      </c>
      <c r="D12" s="6" t="s">
        <v>32</v>
      </c>
    </row>
    <row r="15" spans="1:4" ht="17.5" x14ac:dyDescent="0.45">
      <c r="A15" s="3" t="s">
        <v>33</v>
      </c>
    </row>
    <row r="16" spans="1:4" ht="16" x14ac:dyDescent="0.45">
      <c r="A16" s="10" t="s">
        <v>34</v>
      </c>
      <c r="B16" s="10" t="s">
        <v>35</v>
      </c>
      <c r="C16" s="10" t="s">
        <v>36</v>
      </c>
      <c r="D16" s="10" t="s">
        <v>37</v>
      </c>
    </row>
    <row r="17" spans="1:4" ht="16" x14ac:dyDescent="0.45">
      <c r="A17" s="5" t="s">
        <v>38</v>
      </c>
      <c r="B17" s="6" t="s">
        <v>39</v>
      </c>
      <c r="C17" s="6" t="s">
        <v>40</v>
      </c>
      <c r="D17" s="11" t="str">
        <f>HYPERLINK("#'01_Executive_Cockpit'!A1", "Gå til fane -&gt;")</f>
        <v>Gå til fane -&gt;</v>
      </c>
    </row>
    <row r="18" spans="1:4" ht="16" x14ac:dyDescent="0.45">
      <c r="A18" s="5" t="s">
        <v>41</v>
      </c>
      <c r="B18" s="6" t="s">
        <v>42</v>
      </c>
      <c r="C18" s="6" t="s">
        <v>43</v>
      </c>
      <c r="D18" s="11" t="str">
        <f>HYPERLINK("#'02_EVM_Prosjektkontroll'!A1", "Gå til fane -&gt;")</f>
        <v>Gå til fane -&gt;</v>
      </c>
    </row>
    <row r="19" spans="1:4" ht="16" x14ac:dyDescent="0.45">
      <c r="A19" s="5" t="s">
        <v>44</v>
      </c>
      <c r="B19" s="6" t="s">
        <v>45</v>
      </c>
      <c r="C19" s="6" t="s">
        <v>46</v>
      </c>
      <c r="D19" s="11" t="str">
        <f>HYPERLINK("#'03_S_Kurve_Tidsserie'!A1", "Gå til fane -&gt;")</f>
        <v>Gå til fane -&gt;</v>
      </c>
    </row>
    <row r="20" spans="1:4" ht="16" x14ac:dyDescent="0.45">
      <c r="A20" s="5" t="s">
        <v>47</v>
      </c>
      <c r="B20" s="6" t="s">
        <v>48</v>
      </c>
      <c r="C20" s="6" t="s">
        <v>49</v>
      </c>
      <c r="D20" s="11" t="str">
        <f>HYPERLINK("#'04_F05_20_Avsetningskalkyle'!A1", "Gå til fane -&gt;")</f>
        <v>Gå til fane -&gt;</v>
      </c>
    </row>
    <row r="21" spans="1:4" ht="16" x14ac:dyDescent="0.45">
      <c r="A21" s="5" t="s">
        <v>50</v>
      </c>
      <c r="B21" s="6" t="s">
        <v>51</v>
      </c>
      <c r="C21" s="6" t="s">
        <v>52</v>
      </c>
      <c r="D21" s="11" t="str">
        <f>HYPERLINK("#'05_Compliance_Internkontroll'!A1", "Gå til fane -&gt;")</f>
        <v>Gå til fane -&gt;</v>
      </c>
    </row>
    <row r="22" spans="1:4" ht="16" x14ac:dyDescent="0.45">
      <c r="A22" s="5" t="s">
        <v>53</v>
      </c>
      <c r="B22" s="6" t="s">
        <v>54</v>
      </c>
      <c r="C22" s="6" t="s">
        <v>55</v>
      </c>
      <c r="D22" s="11" t="str">
        <f>HYPERLINK("#'Dim_Project'!A1", "Gå til fane -&gt;")</f>
        <v>Gå til fane -&gt;</v>
      </c>
    </row>
    <row r="23" spans="1:4" ht="16" x14ac:dyDescent="0.45">
      <c r="A23" s="5" t="s">
        <v>56</v>
      </c>
      <c r="B23" s="6" t="s">
        <v>54</v>
      </c>
      <c r="C23" s="6" t="s">
        <v>57</v>
      </c>
      <c r="D23" s="11" t="str">
        <f>HYPERLINK("#'Dim_Date'!A1", "Gå til fane -&gt;")</f>
        <v>Gå til fane -&gt;</v>
      </c>
    </row>
    <row r="24" spans="1:4" ht="16" x14ac:dyDescent="0.45">
      <c r="A24" s="5" t="s">
        <v>58</v>
      </c>
      <c r="B24" s="6" t="s">
        <v>54</v>
      </c>
      <c r="C24" s="6" t="s">
        <v>59</v>
      </c>
      <c r="D24" s="11" t="str">
        <f>HYPERLINK("#'Dim_Model_Parameter'!A1", "Gå til fane -&gt;")</f>
        <v>Gå til fane -&gt;</v>
      </c>
    </row>
    <row r="25" spans="1:4" ht="16" x14ac:dyDescent="0.45">
      <c r="A25" s="5" t="s">
        <v>60</v>
      </c>
      <c r="B25" s="6" t="s">
        <v>54</v>
      </c>
      <c r="C25" s="6" t="s">
        <v>61</v>
      </c>
      <c r="D25" s="11" t="str">
        <f>HYPERLINK("#'Fact_EVM_Snapshots'!A1", "Gå til fane -&gt;")</f>
        <v>Gå til fane -&gt;</v>
      </c>
    </row>
    <row r="26" spans="1:4" ht="16" x14ac:dyDescent="0.45">
      <c r="A26" s="5" t="s">
        <v>62</v>
      </c>
      <c r="B26" s="6" t="s">
        <v>54</v>
      </c>
      <c r="C26" s="6" t="s">
        <v>63</v>
      </c>
      <c r="D26" s="11" t="str">
        <f>HYPERLINK("#'Fact_UBW_Audit'!A1", "Gå til fane -&gt;")</f>
        <v>Gå til fane -&gt;</v>
      </c>
    </row>
    <row r="27" spans="1:4" ht="16" x14ac:dyDescent="0.45">
      <c r="A27" s="5" t="s">
        <v>64</v>
      </c>
      <c r="B27" s="6" t="s">
        <v>54</v>
      </c>
      <c r="C27" s="6" t="s">
        <v>65</v>
      </c>
      <c r="D27" s="11" t="str">
        <f>HYPERLINK("#'Fact_Travel_Audit'!A1", "Gå til fane -&gt;")</f>
        <v>Gå til fane -&gt;</v>
      </c>
    </row>
    <row r="28" spans="1:4" ht="16" x14ac:dyDescent="0.45">
      <c r="A28" s="5" t="s">
        <v>66</v>
      </c>
      <c r="B28" s="6" t="s">
        <v>54</v>
      </c>
      <c r="C28" s="6" t="s">
        <v>67</v>
      </c>
      <c r="D28" s="11" t="str">
        <f>HYPERLINK("#'Fact_Project_BOA'!A1", "Gå til fane -&gt;")</f>
        <v>Gå til fane -&gt;</v>
      </c>
    </row>
    <row r="29" spans="1:4" ht="16" x14ac:dyDescent="0.45">
      <c r="A29" s="5" t="s">
        <v>68</v>
      </c>
      <c r="B29" s="6" t="s">
        <v>54</v>
      </c>
      <c r="C29" s="6" t="s">
        <v>69</v>
      </c>
      <c r="D29" s="11" t="str">
        <f>HYPERLINK("#'Dim_Kontoplan_2026'!A1", "Gå til fane -&gt;")</f>
        <v>Gå til fane -&gt;</v>
      </c>
    </row>
    <row r="30" spans="1:4" x14ac:dyDescent="0.35">
      <c r="A30" s="92" t="s">
        <v>962</v>
      </c>
      <c r="B30" s="92" t="s">
        <v>39</v>
      </c>
      <c r="C30" s="92" t="s">
        <v>963</v>
      </c>
      <c r="D30" s="92" t="s">
        <v>964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topLeftCell="A16" workbookViewId="0">
      <selection activeCell="A2" sqref="A2"/>
    </sheetView>
  </sheetViews>
  <sheetFormatPr defaultRowHeight="14.5" x14ac:dyDescent="0.35"/>
  <cols>
    <col min="1" max="1" width="94" customWidth="1"/>
    <col min="2" max="2" width="47" customWidth="1"/>
    <col min="3" max="3" width="94" customWidth="1"/>
    <col min="4" max="4" width="90" customWidth="1"/>
    <col min="5" max="5" width="71" customWidth="1"/>
    <col min="6" max="6" width="14" customWidth="1"/>
  </cols>
  <sheetData>
    <row r="1" spans="1:5" ht="25" x14ac:dyDescent="0.7">
      <c r="A1" s="1" t="s">
        <v>70</v>
      </c>
    </row>
    <row r="2" spans="1:5" ht="16" x14ac:dyDescent="0.45">
      <c r="A2" s="2" t="s">
        <v>71</v>
      </c>
    </row>
    <row r="4" spans="1:5" ht="17.5" x14ac:dyDescent="0.45">
      <c r="A4" s="3" t="s">
        <v>72</v>
      </c>
    </row>
    <row r="5" spans="1:5" ht="16" x14ac:dyDescent="0.45">
      <c r="A5" s="4" t="s">
        <v>73</v>
      </c>
      <c r="B5" s="4" t="s">
        <v>74</v>
      </c>
      <c r="C5" s="4" t="s">
        <v>75</v>
      </c>
      <c r="D5" s="4" t="s">
        <v>76</v>
      </c>
      <c r="E5" s="4" t="s">
        <v>77</v>
      </c>
    </row>
    <row r="6" spans="1:5" ht="16" x14ac:dyDescent="0.45">
      <c r="A6" s="5" t="s">
        <v>78</v>
      </c>
      <c r="B6" s="12">
        <f>'02_EVM_Prosjektkontroll'!C14</f>
        <v>92200000</v>
      </c>
      <c r="C6" s="13">
        <v>71700000</v>
      </c>
      <c r="D6" s="14" t="s">
        <v>79</v>
      </c>
      <c r="E6" s="6" t="s">
        <v>80</v>
      </c>
    </row>
    <row r="7" spans="1:5" ht="16" x14ac:dyDescent="0.45">
      <c r="A7" s="5" t="s">
        <v>81</v>
      </c>
      <c r="B7" s="12">
        <f>'02_EVM_Prosjektkontroll'!F14</f>
        <v>51834000</v>
      </c>
      <c r="C7" s="13">
        <v>40000000</v>
      </c>
      <c r="D7" s="14" t="s">
        <v>82</v>
      </c>
      <c r="E7" s="6" t="s">
        <v>83</v>
      </c>
    </row>
    <row r="8" spans="1:5" ht="16" x14ac:dyDescent="0.45">
      <c r="A8" s="5" t="s">
        <v>84</v>
      </c>
      <c r="B8" s="12">
        <f>'02_EVM_Prosjektkontroll'!E14</f>
        <v>48270000</v>
      </c>
      <c r="C8" s="13">
        <f>'02_EVM_Prosjektkontroll'!D14</f>
        <v>51800000</v>
      </c>
      <c r="D8" s="14" t="s">
        <v>85</v>
      </c>
      <c r="E8" s="6" t="s">
        <v>86</v>
      </c>
    </row>
    <row r="9" spans="1:5" ht="16" x14ac:dyDescent="0.45">
      <c r="A9" s="15" t="s">
        <v>87</v>
      </c>
      <c r="B9" s="16">
        <f>'02_EVM_Prosjektkontroll'!G14</f>
        <v>-3564000</v>
      </c>
      <c r="C9" s="17">
        <v>0</v>
      </c>
      <c r="D9" s="18" t="str">
        <f>IF(B9&lt;0, "OVERFORBRUK", "UNDER BUDSJETT")</f>
        <v>OVERFORBRUK</v>
      </c>
      <c r="E9" s="19" t="s">
        <v>88</v>
      </c>
    </row>
    <row r="10" spans="1:5" ht="16" x14ac:dyDescent="0.45">
      <c r="A10" s="15" t="s">
        <v>89</v>
      </c>
      <c r="B10" s="20">
        <f>'02_EVM_Prosjektkontroll'!I14</f>
        <v>0.93124204190299809</v>
      </c>
      <c r="C10" s="21">
        <v>1</v>
      </c>
      <c r="D10" s="18" t="str">
        <f>IF(B10&lt;0.9, "KRITISK", "TILFREDSSTILLENDE")</f>
        <v>TILFREDSSTILLENDE</v>
      </c>
      <c r="E10" s="19" t="s">
        <v>90</v>
      </c>
    </row>
    <row r="11" spans="1:5" ht="16" x14ac:dyDescent="0.45">
      <c r="A11" s="5" t="s">
        <v>91</v>
      </c>
      <c r="B11" s="22">
        <f>'02_EVM_Prosjektkontroll'!J14</f>
        <v>0.93185328185328187</v>
      </c>
      <c r="C11" s="23">
        <v>1</v>
      </c>
      <c r="D11" s="24" t="str">
        <f>IF(B11&lt;0.9, "FORSINKET", "I RUTE")</f>
        <v>I RUTE</v>
      </c>
      <c r="E11" s="6" t="s">
        <v>92</v>
      </c>
    </row>
    <row r="12" spans="1:5" ht="16" x14ac:dyDescent="0.45">
      <c r="A12" s="5" t="s">
        <v>93</v>
      </c>
      <c r="B12" s="12">
        <f>'02_EVM_Prosjektkontroll'!N14</f>
        <v>103191811.47007298</v>
      </c>
      <c r="C12" s="13">
        <f>'02_EVM_Prosjektkontroll'!C14</f>
        <v>92200000</v>
      </c>
      <c r="D12" s="14" t="s">
        <v>94</v>
      </c>
      <c r="E12" s="6" t="s">
        <v>95</v>
      </c>
    </row>
    <row r="13" spans="1:5" ht="16" x14ac:dyDescent="0.45">
      <c r="A13" s="15" t="s">
        <v>96</v>
      </c>
      <c r="B13" s="16">
        <f>'02_EVM_Prosjektkontroll'!O14</f>
        <v>-10991811.470072985</v>
      </c>
      <c r="C13" s="17">
        <v>0</v>
      </c>
      <c r="D13" s="18" t="str">
        <f>IF(B13&lt;0, "SLUTTOVERSKRIDELSE", "INSPEKT")</f>
        <v>SLUTTOVERSKRIDELSE</v>
      </c>
      <c r="E13" s="19" t="s">
        <v>97</v>
      </c>
    </row>
    <row r="14" spans="1:5" ht="16" x14ac:dyDescent="0.45">
      <c r="A14" s="15" t="s">
        <v>98</v>
      </c>
      <c r="B14" s="25">
        <f>'04_F05_20_Avsetningskalkyle'!C9</f>
        <v>0.01</v>
      </c>
      <c r="C14" s="26">
        <v>0.05</v>
      </c>
      <c r="D14" s="18" t="s">
        <v>99</v>
      </c>
      <c r="E14" s="19" t="s">
        <v>100</v>
      </c>
    </row>
    <row r="15" spans="1:5" ht="16" x14ac:dyDescent="0.45">
      <c r="A15" s="15" t="s">
        <v>101</v>
      </c>
      <c r="B15" s="16" t="str">
        <f>'05_Compliance_Internkontroll'!C20</f>
        <v>2026-02-05</v>
      </c>
      <c r="C15" s="17">
        <v>0</v>
      </c>
      <c r="D15" s="18" t="s">
        <v>102</v>
      </c>
      <c r="E15" s="19" t="s">
        <v>103</v>
      </c>
    </row>
    <row r="18" spans="1:6" ht="17.5" x14ac:dyDescent="0.45">
      <c r="A18" s="3" t="s">
        <v>104</v>
      </c>
    </row>
    <row r="19" spans="1:6" ht="16.5" x14ac:dyDescent="0.45">
      <c r="A19" s="27" t="s">
        <v>105</v>
      </c>
      <c r="B19" s="28" t="s">
        <v>106</v>
      </c>
      <c r="C19" s="2" t="s">
        <v>107</v>
      </c>
    </row>
    <row r="22" spans="1:6" ht="17.5" x14ac:dyDescent="0.45">
      <c r="A22" s="3" t="s">
        <v>108</v>
      </c>
    </row>
    <row r="23" spans="1:6" ht="16" x14ac:dyDescent="0.45">
      <c r="A23" s="10" t="s">
        <v>109</v>
      </c>
      <c r="B23" s="10" t="s">
        <v>110</v>
      </c>
      <c r="C23" s="10" t="s">
        <v>111</v>
      </c>
      <c r="D23" s="10" t="s">
        <v>112</v>
      </c>
      <c r="E23" s="10" t="s">
        <v>113</v>
      </c>
      <c r="F23" s="10" t="s">
        <v>114</v>
      </c>
    </row>
    <row r="24" spans="1:6" ht="16" x14ac:dyDescent="0.45">
      <c r="A24" s="24" t="s">
        <v>115</v>
      </c>
      <c r="B24" s="5" t="s">
        <v>116</v>
      </c>
      <c r="C24" s="6" t="s">
        <v>117</v>
      </c>
      <c r="D24" s="6" t="s">
        <v>118</v>
      </c>
      <c r="E24" s="5" t="s">
        <v>119</v>
      </c>
      <c r="F24" s="7" t="s">
        <v>120</v>
      </c>
    </row>
    <row r="25" spans="1:6" ht="16" x14ac:dyDescent="0.45">
      <c r="A25" s="24" t="s">
        <v>115</v>
      </c>
      <c r="B25" s="5" t="s">
        <v>121</v>
      </c>
      <c r="C25" s="6" t="s">
        <v>122</v>
      </c>
      <c r="D25" s="6" t="s">
        <v>123</v>
      </c>
      <c r="E25" s="5" t="s">
        <v>124</v>
      </c>
      <c r="F25" s="7" t="s">
        <v>125</v>
      </c>
    </row>
    <row r="26" spans="1:6" ht="16" x14ac:dyDescent="0.45">
      <c r="A26" s="24" t="s">
        <v>115</v>
      </c>
      <c r="B26" s="5" t="s">
        <v>126</v>
      </c>
      <c r="C26" s="6" t="s">
        <v>127</v>
      </c>
      <c r="D26" s="6" t="s">
        <v>128</v>
      </c>
      <c r="E26" s="5" t="s">
        <v>129</v>
      </c>
      <c r="F26" s="7" t="s">
        <v>130</v>
      </c>
    </row>
    <row r="27" spans="1:6" ht="16" x14ac:dyDescent="0.45">
      <c r="A27" s="29" t="s">
        <v>131</v>
      </c>
      <c r="B27" s="5" t="s">
        <v>132</v>
      </c>
      <c r="C27" s="6" t="s">
        <v>133</v>
      </c>
      <c r="D27" s="6" t="s">
        <v>134</v>
      </c>
      <c r="E27" s="5" t="s">
        <v>135</v>
      </c>
      <c r="F27" s="7" t="s">
        <v>136</v>
      </c>
    </row>
    <row r="28" spans="1:6" ht="16" x14ac:dyDescent="0.45">
      <c r="A28" s="29" t="s">
        <v>131</v>
      </c>
      <c r="B28" s="5" t="s">
        <v>137</v>
      </c>
      <c r="C28" s="6" t="s">
        <v>138</v>
      </c>
      <c r="D28" s="6" t="s">
        <v>139</v>
      </c>
      <c r="E28" s="5" t="s">
        <v>140</v>
      </c>
      <c r="F28" s="7" t="s">
        <v>141</v>
      </c>
    </row>
  </sheetData>
  <conditionalFormatting sqref="A24:A28">
    <cfRule type="expression" dxfId="39" priority="4">
      <formula>$A24="P1"</formula>
    </cfRule>
  </conditionalFormatting>
  <conditionalFormatting sqref="A24:A28">
    <cfRule type="expression" dxfId="38" priority="5">
      <formula>$A24="P2"</formula>
    </cfRule>
  </conditionalFormatting>
  <conditionalFormatting sqref="D6:D15">
    <cfRule type="expression" dxfId="11" priority="6">
      <formula>OR($D6="I rute",$D6="I RUTE",$D6="TILFREDSSTILLENDE")</formula>
    </cfRule>
  </conditionalFormatting>
  <conditionalFormatting sqref="D6:D15">
    <cfRule type="expression" dxfId="10" priority="7">
      <formula>OR(IFERROR(ISNUMBER(SEARCH("OVER",$D6)),FALSE),IFERROR(ISNUMBER(SEARCH("MERFORBRUK",$D6)),FALSE),IFERROR(ISNUMBER(SEARCH("DISPENSASJON",$D6)),FALSE),IFERROR(ISNUMBER(SEARCH("FLAGG",$D6)),FALSE))</formula>
    </cfRule>
  </conditionalFormatting>
  <conditionalFormatting sqref="D6:D15">
    <cfRule type="expression" dxfId="9" priority="8">
      <formula>OR(IFERROR(ISNUMBER(SEARCH("AVVIK",$D6)),FALSE),IFERROR(ISNUMBER(SEARCH("PROJISERT",$D6)),FALSE))</formula>
    </cfRule>
  </conditionalFormatting>
  <conditionalFormatting sqref="B10:B11">
    <cfRule type="iconSet" priority="9">
      <iconSet>
        <cfvo type="percent" val="0"/>
        <cfvo type="num" val="0.9"/>
        <cfvo type="num" val="1"/>
      </iconSet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4"/>
  <sheetViews>
    <sheetView workbookViewId="0"/>
  </sheetViews>
  <sheetFormatPr defaultRowHeight="14.5" x14ac:dyDescent="0.35"/>
  <cols>
    <col min="1" max="1" width="114" customWidth="1"/>
    <col min="2" max="2" width="45" customWidth="1"/>
    <col min="3" max="6" width="24" customWidth="1"/>
    <col min="7" max="7" width="22" customWidth="1"/>
    <col min="8" max="8" width="24" customWidth="1"/>
    <col min="9" max="10" width="27" customWidth="1"/>
    <col min="11" max="11" width="34" customWidth="1"/>
    <col min="12" max="12" width="50" customWidth="1"/>
    <col min="13" max="13" width="58" customWidth="1"/>
    <col min="14" max="14" width="112" customWidth="1"/>
    <col min="15" max="15" width="20" customWidth="1"/>
    <col min="16" max="16" width="21" customWidth="1"/>
    <col min="17" max="17" width="39" customWidth="1"/>
    <col min="18" max="18" width="108" customWidth="1"/>
  </cols>
  <sheetData>
    <row r="1" spans="1:18" ht="25" x14ac:dyDescent="0.7">
      <c r="A1" s="1" t="s">
        <v>142</v>
      </c>
    </row>
    <row r="2" spans="1:18" ht="16" x14ac:dyDescent="0.45">
      <c r="A2" s="2" t="s">
        <v>143</v>
      </c>
    </row>
    <row r="4" spans="1:18" ht="16" x14ac:dyDescent="0.45">
      <c r="A4" s="30" t="s">
        <v>144</v>
      </c>
      <c r="B4" s="31" t="s">
        <v>145</v>
      </c>
      <c r="C4" s="32" t="s">
        <v>146</v>
      </c>
      <c r="D4" s="32" t="s">
        <v>147</v>
      </c>
      <c r="E4" s="32" t="s">
        <v>148</v>
      </c>
      <c r="F4" s="32" t="s">
        <v>149</v>
      </c>
      <c r="G4" s="32" t="s">
        <v>150</v>
      </c>
      <c r="H4" s="32" t="s">
        <v>151</v>
      </c>
      <c r="I4" s="32" t="s">
        <v>152</v>
      </c>
      <c r="J4" s="32" t="s">
        <v>153</v>
      </c>
      <c r="K4" s="32" t="s">
        <v>154</v>
      </c>
      <c r="L4" s="32" t="s">
        <v>155</v>
      </c>
      <c r="M4" s="32" t="s">
        <v>156</v>
      </c>
      <c r="N4" s="32" t="s">
        <v>157</v>
      </c>
      <c r="O4" s="32" t="s">
        <v>158</v>
      </c>
      <c r="P4" s="32" t="s">
        <v>159</v>
      </c>
      <c r="Q4" s="32" t="s">
        <v>160</v>
      </c>
      <c r="R4" s="30" t="s">
        <v>161</v>
      </c>
    </row>
    <row r="5" spans="1:18" ht="16" x14ac:dyDescent="0.45">
      <c r="A5" s="33" t="s">
        <v>162</v>
      </c>
      <c r="B5" s="6" t="s">
        <v>163</v>
      </c>
      <c r="C5" s="34">
        <v>18500000</v>
      </c>
      <c r="D5" s="34">
        <v>12000000</v>
      </c>
      <c r="E5" s="34">
        <v>12200000</v>
      </c>
      <c r="F5" s="34">
        <v>11800000</v>
      </c>
      <c r="G5" s="34">
        <f t="shared" ref="G5:G14" si="0">E5-F5</f>
        <v>400000</v>
      </c>
      <c r="H5" s="34">
        <f t="shared" ref="H5:H14" si="1">E5-D5</f>
        <v>200000</v>
      </c>
      <c r="I5" s="35">
        <f t="shared" ref="I5:I13" si="2">IFERROR(E5/F5, 1)</f>
        <v>1.0338983050847457</v>
      </c>
      <c r="J5" s="35">
        <f t="shared" ref="J5:J13" si="3">IFERROR(E5/D5, 1)</f>
        <v>1.0166666666666666</v>
      </c>
      <c r="K5" s="34">
        <f t="shared" ref="K5:K13" si="4">IFERROR(C5/I5, C5)</f>
        <v>17893442.622950822</v>
      </c>
      <c r="L5" s="34">
        <f t="shared" ref="L5:L13" si="5">IFERROR(F5+(C5-E5)/(I5*J5), C5)</f>
        <v>17793550.120935231</v>
      </c>
      <c r="M5" s="34">
        <f t="shared" ref="M5:M13" si="6">IFERROR(F5+(C5-E5)/(0.8*I5+0.2*J5), C5)</f>
        <v>17913822.029716544</v>
      </c>
      <c r="N5" s="34">
        <f>IF('01_Executive_Cockpit'!$B$19="CPI", K5, IF('01_Executive_Cockpit'!$B$19="COMPOSITE", L5, M5))</f>
        <v>17793550.120935231</v>
      </c>
      <c r="O5" s="34">
        <f t="shared" ref="O5:O14" si="7">C5-N5</f>
        <v>706449.87906476855</v>
      </c>
      <c r="P5" s="34">
        <f t="shared" ref="P5:P14" si="8">N5-F5</f>
        <v>5993550.1209352314</v>
      </c>
      <c r="Q5" s="35">
        <f t="shared" ref="Q5:Q13" si="9">IFERROR((C5-E5)/(C5-F5), 9.99)</f>
        <v>0.94029850746268662</v>
      </c>
      <c r="R5" s="36" t="str">
        <f t="shared" ref="R5:R13" si="10">IF(OR(I5&lt;0.85, J5&lt;0.85, O5&lt;-1000000), "CRITICAL", IF(OR(I5&lt;0.95, J5&lt;0.95), "WARNING", "ON TRACK"))</f>
        <v>ON TRACK</v>
      </c>
    </row>
    <row r="6" spans="1:18" ht="16" x14ac:dyDescent="0.45">
      <c r="A6" s="33" t="s">
        <v>164</v>
      </c>
      <c r="B6" s="6" t="s">
        <v>165</v>
      </c>
      <c r="C6" s="34">
        <v>8200000</v>
      </c>
      <c r="D6" s="34">
        <v>6500000</v>
      </c>
      <c r="E6" s="34">
        <v>5200000</v>
      </c>
      <c r="F6" s="34">
        <v>6800000</v>
      </c>
      <c r="G6" s="34">
        <f t="shared" si="0"/>
        <v>-1600000</v>
      </c>
      <c r="H6" s="34">
        <f t="shared" si="1"/>
        <v>-1300000</v>
      </c>
      <c r="I6" s="35">
        <f t="shared" si="2"/>
        <v>0.76470588235294112</v>
      </c>
      <c r="J6" s="35">
        <f t="shared" si="3"/>
        <v>0.8</v>
      </c>
      <c r="K6" s="34">
        <f t="shared" si="4"/>
        <v>10723076.923076924</v>
      </c>
      <c r="L6" s="34">
        <f t="shared" si="5"/>
        <v>11703846.153846152</v>
      </c>
      <c r="M6" s="34">
        <f t="shared" si="6"/>
        <v>10687195.121951219</v>
      </c>
      <c r="N6" s="34">
        <f>IF('01_Executive_Cockpit'!$B$19="CPI", K6, IF('01_Executive_Cockpit'!$B$19="COMPOSITE", L6, M6))</f>
        <v>11703846.153846152</v>
      </c>
      <c r="O6" s="34">
        <f t="shared" si="7"/>
        <v>-3503846.1538461521</v>
      </c>
      <c r="P6" s="34">
        <f t="shared" si="8"/>
        <v>4903846.1538461521</v>
      </c>
      <c r="Q6" s="35">
        <f t="shared" si="9"/>
        <v>2.1428571428571428</v>
      </c>
      <c r="R6" s="37" t="str">
        <f t="shared" si="10"/>
        <v>CRITICAL</v>
      </c>
    </row>
    <row r="7" spans="1:18" ht="16" x14ac:dyDescent="0.45">
      <c r="A7" s="33" t="s">
        <v>166</v>
      </c>
      <c r="B7" s="6" t="s">
        <v>167</v>
      </c>
      <c r="C7" s="34">
        <v>45000000</v>
      </c>
      <c r="D7" s="34">
        <v>22500000</v>
      </c>
      <c r="E7" s="34">
        <v>21000000</v>
      </c>
      <c r="F7" s="34">
        <v>23100000</v>
      </c>
      <c r="G7" s="34">
        <f t="shared" si="0"/>
        <v>-2100000</v>
      </c>
      <c r="H7" s="34">
        <f t="shared" si="1"/>
        <v>-1500000</v>
      </c>
      <c r="I7" s="35">
        <f t="shared" si="2"/>
        <v>0.90909090909090906</v>
      </c>
      <c r="J7" s="35">
        <f t="shared" si="3"/>
        <v>0.93333333333333335</v>
      </c>
      <c r="K7" s="34">
        <f t="shared" si="4"/>
        <v>49500000</v>
      </c>
      <c r="L7" s="34">
        <f t="shared" si="5"/>
        <v>51385714.285714284</v>
      </c>
      <c r="M7" s="34">
        <f t="shared" si="6"/>
        <v>49359946.949602127</v>
      </c>
      <c r="N7" s="34">
        <f>IF('01_Executive_Cockpit'!$B$19="CPI", K7, IF('01_Executive_Cockpit'!$B$19="COMPOSITE", L7, M7))</f>
        <v>51385714.285714284</v>
      </c>
      <c r="O7" s="34">
        <f t="shared" si="7"/>
        <v>-6385714.2857142836</v>
      </c>
      <c r="P7" s="34">
        <f t="shared" si="8"/>
        <v>28285714.285714284</v>
      </c>
      <c r="Q7" s="35">
        <f t="shared" si="9"/>
        <v>1.095890410958904</v>
      </c>
      <c r="R7" s="37" t="str">
        <f t="shared" si="10"/>
        <v>CRITICAL</v>
      </c>
    </row>
    <row r="8" spans="1:18" ht="16" x14ac:dyDescent="0.45">
      <c r="A8" s="33" t="s">
        <v>168</v>
      </c>
      <c r="B8" s="6" t="s">
        <v>169</v>
      </c>
      <c r="C8" s="34">
        <v>4000000</v>
      </c>
      <c r="D8" s="34">
        <v>2600000</v>
      </c>
      <c r="E8" s="34">
        <v>1680000</v>
      </c>
      <c r="F8" s="34">
        <v>1680000</v>
      </c>
      <c r="G8" s="34">
        <f t="shared" si="0"/>
        <v>0</v>
      </c>
      <c r="H8" s="34">
        <f t="shared" si="1"/>
        <v>-920000</v>
      </c>
      <c r="I8" s="35">
        <f t="shared" si="2"/>
        <v>1</v>
      </c>
      <c r="J8" s="35">
        <f t="shared" si="3"/>
        <v>0.64615384615384619</v>
      </c>
      <c r="K8" s="34">
        <f t="shared" si="4"/>
        <v>4000000</v>
      </c>
      <c r="L8" s="34">
        <f t="shared" si="5"/>
        <v>5270476.1904761903</v>
      </c>
      <c r="M8" s="34">
        <f t="shared" si="6"/>
        <v>4176688.7417218541</v>
      </c>
      <c r="N8" s="34">
        <f>IF('01_Executive_Cockpit'!$B$19="CPI", K8, IF('01_Executive_Cockpit'!$B$19="COMPOSITE", L8, M8))</f>
        <v>5270476.1904761903</v>
      </c>
      <c r="O8" s="34">
        <f t="shared" si="7"/>
        <v>-1270476.1904761903</v>
      </c>
      <c r="P8" s="34">
        <f t="shared" si="8"/>
        <v>3590476.1904761903</v>
      </c>
      <c r="Q8" s="35">
        <f t="shared" si="9"/>
        <v>1</v>
      </c>
      <c r="R8" s="36" t="str">
        <f t="shared" si="10"/>
        <v>CRITICAL</v>
      </c>
    </row>
    <row r="9" spans="1:18" ht="16" x14ac:dyDescent="0.45">
      <c r="A9" s="33" t="s">
        <v>170</v>
      </c>
      <c r="B9" s="6" t="s">
        <v>171</v>
      </c>
      <c r="C9" s="34">
        <v>2800000</v>
      </c>
      <c r="D9" s="34">
        <v>1450000</v>
      </c>
      <c r="E9" s="34">
        <v>1450000</v>
      </c>
      <c r="F9" s="34">
        <v>1450000</v>
      </c>
      <c r="G9" s="34">
        <f t="shared" si="0"/>
        <v>0</v>
      </c>
      <c r="H9" s="34">
        <f t="shared" si="1"/>
        <v>0</v>
      </c>
      <c r="I9" s="35">
        <f t="shared" si="2"/>
        <v>1</v>
      </c>
      <c r="J9" s="35">
        <f t="shared" si="3"/>
        <v>1</v>
      </c>
      <c r="K9" s="34">
        <f t="shared" si="4"/>
        <v>2800000</v>
      </c>
      <c r="L9" s="34">
        <f t="shared" si="5"/>
        <v>2800000</v>
      </c>
      <c r="M9" s="34">
        <f t="shared" si="6"/>
        <v>2800000</v>
      </c>
      <c r="N9" s="34">
        <f>IF('01_Executive_Cockpit'!$B$19="CPI", K9, IF('01_Executive_Cockpit'!$B$19="COMPOSITE", L9, M9))</f>
        <v>2800000</v>
      </c>
      <c r="O9" s="34">
        <f t="shared" si="7"/>
        <v>0</v>
      </c>
      <c r="P9" s="34">
        <f t="shared" si="8"/>
        <v>1350000</v>
      </c>
      <c r="Q9" s="35">
        <f t="shared" si="9"/>
        <v>1</v>
      </c>
      <c r="R9" s="36" t="str">
        <f t="shared" si="10"/>
        <v>ON TRACK</v>
      </c>
    </row>
    <row r="10" spans="1:18" ht="16" x14ac:dyDescent="0.45">
      <c r="A10" s="33" t="s">
        <v>172</v>
      </c>
      <c r="B10" s="6" t="s">
        <v>173</v>
      </c>
      <c r="C10" s="34">
        <v>6200000</v>
      </c>
      <c r="D10" s="34">
        <v>3100000</v>
      </c>
      <c r="E10" s="34">
        <v>3100000</v>
      </c>
      <c r="F10" s="34">
        <v>3100000</v>
      </c>
      <c r="G10" s="34">
        <f t="shared" si="0"/>
        <v>0</v>
      </c>
      <c r="H10" s="34">
        <f t="shared" si="1"/>
        <v>0</v>
      </c>
      <c r="I10" s="35">
        <f t="shared" si="2"/>
        <v>1</v>
      </c>
      <c r="J10" s="35">
        <f t="shared" si="3"/>
        <v>1</v>
      </c>
      <c r="K10" s="34">
        <f t="shared" si="4"/>
        <v>6200000</v>
      </c>
      <c r="L10" s="34">
        <f t="shared" si="5"/>
        <v>6200000</v>
      </c>
      <c r="M10" s="34">
        <f t="shared" si="6"/>
        <v>6200000</v>
      </c>
      <c r="N10" s="34">
        <f>IF('01_Executive_Cockpit'!$B$19="CPI", K10, IF('01_Executive_Cockpit'!$B$19="COMPOSITE", L10, M10))</f>
        <v>6200000</v>
      </c>
      <c r="O10" s="34">
        <f t="shared" si="7"/>
        <v>0</v>
      </c>
      <c r="P10" s="34">
        <f t="shared" si="8"/>
        <v>3100000</v>
      </c>
      <c r="Q10" s="35">
        <f t="shared" si="9"/>
        <v>1</v>
      </c>
      <c r="R10" s="36" t="str">
        <f t="shared" si="10"/>
        <v>ON TRACK</v>
      </c>
    </row>
    <row r="11" spans="1:18" ht="16" x14ac:dyDescent="0.45">
      <c r="A11" s="33" t="s">
        <v>174</v>
      </c>
      <c r="B11" s="6" t="s">
        <v>175</v>
      </c>
      <c r="C11" s="34">
        <v>4500000</v>
      </c>
      <c r="D11" s="34">
        <v>2150000</v>
      </c>
      <c r="E11" s="34">
        <v>2150000</v>
      </c>
      <c r="F11" s="34">
        <v>2150000</v>
      </c>
      <c r="G11" s="34">
        <f t="shared" si="0"/>
        <v>0</v>
      </c>
      <c r="H11" s="34">
        <f t="shared" si="1"/>
        <v>0</v>
      </c>
      <c r="I11" s="35">
        <f t="shared" si="2"/>
        <v>1</v>
      </c>
      <c r="J11" s="35">
        <f t="shared" si="3"/>
        <v>1</v>
      </c>
      <c r="K11" s="34">
        <f t="shared" si="4"/>
        <v>4500000</v>
      </c>
      <c r="L11" s="34">
        <f t="shared" si="5"/>
        <v>4500000</v>
      </c>
      <c r="M11" s="34">
        <f t="shared" si="6"/>
        <v>4500000</v>
      </c>
      <c r="N11" s="34">
        <f>IF('01_Executive_Cockpit'!$B$19="CPI", K11, IF('01_Executive_Cockpit'!$B$19="COMPOSITE", L11, M11))</f>
        <v>4500000</v>
      </c>
      <c r="O11" s="34">
        <f t="shared" si="7"/>
        <v>0</v>
      </c>
      <c r="P11" s="34">
        <f t="shared" si="8"/>
        <v>2350000</v>
      </c>
      <c r="Q11" s="35">
        <f t="shared" si="9"/>
        <v>1</v>
      </c>
      <c r="R11" s="36" t="str">
        <f t="shared" si="10"/>
        <v>ON TRACK</v>
      </c>
    </row>
    <row r="12" spans="1:18" ht="16" x14ac:dyDescent="0.45">
      <c r="A12" s="33" t="s">
        <v>176</v>
      </c>
      <c r="B12" s="6" t="s">
        <v>177</v>
      </c>
      <c r="C12" s="34">
        <v>1200000</v>
      </c>
      <c r="D12" s="34">
        <v>600000</v>
      </c>
      <c r="E12" s="34">
        <v>600000</v>
      </c>
      <c r="F12" s="34">
        <v>864000</v>
      </c>
      <c r="G12" s="34">
        <f t="shared" si="0"/>
        <v>-264000</v>
      </c>
      <c r="H12" s="34">
        <f t="shared" si="1"/>
        <v>0</v>
      </c>
      <c r="I12" s="35">
        <f t="shared" si="2"/>
        <v>0.69444444444444442</v>
      </c>
      <c r="J12" s="35">
        <f t="shared" si="3"/>
        <v>1</v>
      </c>
      <c r="K12" s="34">
        <f t="shared" si="4"/>
        <v>1728000</v>
      </c>
      <c r="L12" s="34">
        <f t="shared" si="5"/>
        <v>1728000</v>
      </c>
      <c r="M12" s="34">
        <f t="shared" si="6"/>
        <v>1658117.6470588236</v>
      </c>
      <c r="N12" s="34">
        <f>IF('01_Executive_Cockpit'!$B$19="CPI", K12, IF('01_Executive_Cockpit'!$B$19="COMPOSITE", L12, M12))</f>
        <v>1728000</v>
      </c>
      <c r="O12" s="34">
        <f t="shared" si="7"/>
        <v>-528000</v>
      </c>
      <c r="P12" s="34">
        <f t="shared" si="8"/>
        <v>864000</v>
      </c>
      <c r="Q12" s="35">
        <f t="shared" si="9"/>
        <v>1.7857142857142858</v>
      </c>
      <c r="R12" s="37" t="str">
        <f t="shared" si="10"/>
        <v>CRITICAL</v>
      </c>
    </row>
    <row r="13" spans="1:18" ht="16" x14ac:dyDescent="0.45">
      <c r="A13" s="33" t="s">
        <v>178</v>
      </c>
      <c r="B13" s="6" t="s">
        <v>179</v>
      </c>
      <c r="C13" s="34">
        <v>1800000</v>
      </c>
      <c r="D13" s="34">
        <v>900000</v>
      </c>
      <c r="E13" s="34">
        <v>890000</v>
      </c>
      <c r="F13" s="34">
        <v>890000</v>
      </c>
      <c r="G13" s="34">
        <f t="shared" si="0"/>
        <v>0</v>
      </c>
      <c r="H13" s="34">
        <f t="shared" si="1"/>
        <v>-10000</v>
      </c>
      <c r="I13" s="35">
        <f t="shared" si="2"/>
        <v>1</v>
      </c>
      <c r="J13" s="35">
        <f t="shared" si="3"/>
        <v>0.98888888888888893</v>
      </c>
      <c r="K13" s="34">
        <f t="shared" si="4"/>
        <v>1800000</v>
      </c>
      <c r="L13" s="34">
        <f t="shared" si="5"/>
        <v>1810224.7191011235</v>
      </c>
      <c r="M13" s="34">
        <f t="shared" si="6"/>
        <v>1802026.7260579064</v>
      </c>
      <c r="N13" s="34">
        <f>IF('01_Executive_Cockpit'!$B$19="CPI", K13, IF('01_Executive_Cockpit'!$B$19="COMPOSITE", L13, M13))</f>
        <v>1810224.7191011235</v>
      </c>
      <c r="O13" s="34">
        <f t="shared" si="7"/>
        <v>-10224.719101123512</v>
      </c>
      <c r="P13" s="34">
        <f t="shared" si="8"/>
        <v>920224.71910112351</v>
      </c>
      <c r="Q13" s="35">
        <f t="shared" si="9"/>
        <v>1</v>
      </c>
      <c r="R13" s="36" t="str">
        <f t="shared" si="10"/>
        <v>ON TRACK</v>
      </c>
    </row>
    <row r="14" spans="1:18" ht="16" x14ac:dyDescent="0.45">
      <c r="A14" s="38" t="s">
        <v>180</v>
      </c>
      <c r="B14" s="38"/>
      <c r="C14" s="39">
        <f>SUM(C5:C13)</f>
        <v>92200000</v>
      </c>
      <c r="D14" s="39">
        <f>SUM(D5:D13)</f>
        <v>51800000</v>
      </c>
      <c r="E14" s="39">
        <f>SUM(E5:E13)</f>
        <v>48270000</v>
      </c>
      <c r="F14" s="39">
        <f>SUM(F5:F13)</f>
        <v>51834000</v>
      </c>
      <c r="G14" s="39">
        <f t="shared" si="0"/>
        <v>-3564000</v>
      </c>
      <c r="H14" s="39">
        <f t="shared" si="1"/>
        <v>-3530000</v>
      </c>
      <c r="I14" s="40">
        <f>E14/F14</f>
        <v>0.93124204190299809</v>
      </c>
      <c r="J14" s="40">
        <f>E14/D14</f>
        <v>0.93185328185328187</v>
      </c>
      <c r="K14" s="39">
        <f>SUM(K5:K13)</f>
        <v>99144519.54602775</v>
      </c>
      <c r="L14" s="39">
        <f>SUM(L5:L13)</f>
        <v>103191811.47007298</v>
      </c>
      <c r="M14" s="39">
        <f>SUM(M5:M13)</f>
        <v>99097797.216108471</v>
      </c>
      <c r="N14" s="39">
        <f>SUM(N5:N13)</f>
        <v>103191811.47007298</v>
      </c>
      <c r="O14" s="39">
        <f t="shared" si="7"/>
        <v>-10991811.470072985</v>
      </c>
      <c r="P14" s="39">
        <f t="shared" si="8"/>
        <v>51357811.470072985</v>
      </c>
      <c r="Q14" s="40">
        <f>(C14-E14)/(C14-F14)</f>
        <v>1.0882921270376058</v>
      </c>
      <c r="R14" s="41" t="s">
        <v>181</v>
      </c>
    </row>
  </sheetData>
  <conditionalFormatting sqref="G5:H1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{A9F4842D-6346-4A50-AB75-46B04A76E680}</x14:id>
        </ext>
      </extLst>
    </cfRule>
  </conditionalFormatting>
  <conditionalFormatting sqref="O5:O1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{40440075-EB26-492F-8EC6-C84FE880ED69}</x14:id>
        </ext>
      </extLst>
    </cfRule>
  </conditionalFormatting>
  <conditionalFormatting sqref="I5:J13">
    <cfRule type="iconSet" priority="3">
      <iconSet>
        <cfvo type="percent" val="0"/>
        <cfvo type="num" val="0.9"/>
        <cfvo type="num" val="1"/>
      </iconSet>
    </cfRule>
  </conditionalFormatting>
  <conditionalFormatting sqref="Q5:Q13">
    <cfRule type="iconSet" priority="4">
      <iconSet reverse="1">
        <cfvo type="percent" val="0"/>
        <cfvo type="num" val="1"/>
        <cfvo type="num" val="1.2"/>
      </iconSet>
    </cfRule>
  </conditionalFormatting>
  <conditionalFormatting sqref="R5:R13">
    <cfRule type="expression" dxfId="37" priority="5">
      <formula>$R5="ON TRACK"</formula>
    </cfRule>
  </conditionalFormatting>
  <conditionalFormatting sqref="R5:R13">
    <cfRule type="expression" dxfId="36" priority="6">
      <formula>$R5="WARNING"</formula>
    </cfRule>
  </conditionalFormatting>
  <conditionalFormatting sqref="R5:R13">
    <cfRule type="expression" dxfId="35" priority="7">
      <formula>$R5="CRITICAL"</formula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F4842D-6346-4A50-AB75-46B04A76E680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G5:H13</xm:sqref>
        </x14:conditionalFormatting>
        <x14:conditionalFormatting xmlns:xm="http://schemas.microsoft.com/office/excel/2006/main">
          <x14:cfRule type="dataBar" id="{40440075-EB26-492F-8EC6-C84FE880ED69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O5:O13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"/>
  <sheetViews>
    <sheetView topLeftCell="A19" workbookViewId="0"/>
  </sheetViews>
  <sheetFormatPr defaultRowHeight="14.5" x14ac:dyDescent="0.35"/>
  <cols>
    <col min="1" max="1" width="105" customWidth="1"/>
    <col min="2" max="5" width="23" customWidth="1"/>
    <col min="6" max="6" width="22" customWidth="1"/>
    <col min="7" max="7" width="24" customWidth="1"/>
    <col min="8" max="9" width="17" customWidth="1"/>
  </cols>
  <sheetData>
    <row r="1" spans="1:9" ht="25" x14ac:dyDescent="0.7">
      <c r="A1" s="1" t="s">
        <v>182</v>
      </c>
    </row>
    <row r="2" spans="1:9" ht="16" x14ac:dyDescent="0.45">
      <c r="A2" s="2" t="s">
        <v>183</v>
      </c>
    </row>
    <row r="4" spans="1:9" ht="16" x14ac:dyDescent="0.45">
      <c r="A4" s="30" t="s">
        <v>184</v>
      </c>
      <c r="B4" s="30" t="s">
        <v>185</v>
      </c>
      <c r="C4" s="32" t="s">
        <v>186</v>
      </c>
      <c r="D4" s="32" t="s">
        <v>84</v>
      </c>
      <c r="E4" s="32" t="s">
        <v>187</v>
      </c>
      <c r="F4" s="32" t="s">
        <v>150</v>
      </c>
      <c r="G4" s="32" t="s">
        <v>151</v>
      </c>
      <c r="H4" s="32" t="s">
        <v>188</v>
      </c>
      <c r="I4" s="32" t="s">
        <v>189</v>
      </c>
    </row>
    <row r="5" spans="1:9" ht="16" x14ac:dyDescent="0.45">
      <c r="A5" s="33" t="s">
        <v>190</v>
      </c>
      <c r="B5" s="42" t="s">
        <v>191</v>
      </c>
      <c r="C5" s="34">
        <v>3500000</v>
      </c>
      <c r="D5" s="34">
        <v>3600000</v>
      </c>
      <c r="E5" s="34">
        <v>3400000</v>
      </c>
      <c r="F5" s="34">
        <f t="shared" ref="F5:F14" si="0">D5-E5</f>
        <v>200000</v>
      </c>
      <c r="G5" s="34">
        <f t="shared" ref="G5:G14" si="1">D5-C5</f>
        <v>100000</v>
      </c>
      <c r="H5" s="35">
        <f t="shared" ref="H5:H14" si="2">D5/E5</f>
        <v>1.0588235294117647</v>
      </c>
      <c r="I5" s="35">
        <f t="shared" ref="I5:I14" si="3">D5/C5</f>
        <v>1.0285714285714285</v>
      </c>
    </row>
    <row r="6" spans="1:9" ht="16" x14ac:dyDescent="0.45">
      <c r="A6" s="33" t="s">
        <v>192</v>
      </c>
      <c r="B6" s="42" t="s">
        <v>193</v>
      </c>
      <c r="C6" s="34">
        <v>7200000</v>
      </c>
      <c r="D6" s="34">
        <v>7100000</v>
      </c>
      <c r="E6" s="34">
        <v>7000000</v>
      </c>
      <c r="F6" s="34">
        <f t="shared" si="0"/>
        <v>100000</v>
      </c>
      <c r="G6" s="34">
        <f t="shared" si="1"/>
        <v>-100000</v>
      </c>
      <c r="H6" s="35">
        <f t="shared" si="2"/>
        <v>1.0142857142857142</v>
      </c>
      <c r="I6" s="35">
        <f t="shared" si="3"/>
        <v>0.98611111111111116</v>
      </c>
    </row>
    <row r="7" spans="1:9" ht="16" x14ac:dyDescent="0.45">
      <c r="A7" s="33" t="s">
        <v>194</v>
      </c>
      <c r="B7" s="42" t="s">
        <v>195</v>
      </c>
      <c r="C7" s="34">
        <v>11500000</v>
      </c>
      <c r="D7" s="34">
        <v>11000000</v>
      </c>
      <c r="E7" s="34">
        <v>11200000</v>
      </c>
      <c r="F7" s="34">
        <f t="shared" si="0"/>
        <v>-200000</v>
      </c>
      <c r="G7" s="34">
        <f t="shared" si="1"/>
        <v>-500000</v>
      </c>
      <c r="H7" s="35">
        <f t="shared" si="2"/>
        <v>0.9821428571428571</v>
      </c>
      <c r="I7" s="35">
        <f t="shared" si="3"/>
        <v>0.95652173913043481</v>
      </c>
    </row>
    <row r="8" spans="1:9" ht="16" x14ac:dyDescent="0.45">
      <c r="A8" s="33" t="s">
        <v>196</v>
      </c>
      <c r="B8" s="42" t="s">
        <v>197</v>
      </c>
      <c r="C8" s="34">
        <v>16000000</v>
      </c>
      <c r="D8" s="34">
        <v>15200000</v>
      </c>
      <c r="E8" s="34">
        <v>15900000</v>
      </c>
      <c r="F8" s="34">
        <f t="shared" si="0"/>
        <v>-700000</v>
      </c>
      <c r="G8" s="34">
        <f t="shared" si="1"/>
        <v>-800000</v>
      </c>
      <c r="H8" s="35">
        <f t="shared" si="2"/>
        <v>0.95597484276729561</v>
      </c>
      <c r="I8" s="35">
        <f t="shared" si="3"/>
        <v>0.95</v>
      </c>
    </row>
    <row r="9" spans="1:9" ht="16" x14ac:dyDescent="0.45">
      <c r="A9" s="33" t="s">
        <v>198</v>
      </c>
      <c r="B9" s="42" t="s">
        <v>199</v>
      </c>
      <c r="C9" s="34">
        <v>21000000</v>
      </c>
      <c r="D9" s="34">
        <v>19800000</v>
      </c>
      <c r="E9" s="34">
        <v>21100000</v>
      </c>
      <c r="F9" s="34">
        <f t="shared" si="0"/>
        <v>-1300000</v>
      </c>
      <c r="G9" s="34">
        <f t="shared" si="1"/>
        <v>-1200000</v>
      </c>
      <c r="H9" s="35">
        <f t="shared" si="2"/>
        <v>0.93838862559241709</v>
      </c>
      <c r="I9" s="35">
        <f t="shared" si="3"/>
        <v>0.94285714285714284</v>
      </c>
    </row>
    <row r="10" spans="1:9" ht="16" x14ac:dyDescent="0.45">
      <c r="A10" s="33" t="s">
        <v>200</v>
      </c>
      <c r="B10" s="42" t="s">
        <v>201</v>
      </c>
      <c r="C10" s="34">
        <v>26500000</v>
      </c>
      <c r="D10" s="34">
        <v>24900000</v>
      </c>
      <c r="E10" s="34">
        <v>27000000</v>
      </c>
      <c r="F10" s="34">
        <f t="shared" si="0"/>
        <v>-2100000</v>
      </c>
      <c r="G10" s="34">
        <f t="shared" si="1"/>
        <v>-1600000</v>
      </c>
      <c r="H10" s="35">
        <f t="shared" si="2"/>
        <v>0.92222222222222228</v>
      </c>
      <c r="I10" s="35">
        <f t="shared" si="3"/>
        <v>0.93962264150943398</v>
      </c>
    </row>
    <row r="11" spans="1:9" ht="16" x14ac:dyDescent="0.45">
      <c r="A11" s="33" t="s">
        <v>202</v>
      </c>
      <c r="B11" s="42" t="s">
        <v>203</v>
      </c>
      <c r="C11" s="34">
        <v>30000000</v>
      </c>
      <c r="D11" s="34">
        <v>28000000</v>
      </c>
      <c r="E11" s="34">
        <v>30500000</v>
      </c>
      <c r="F11" s="34">
        <f t="shared" si="0"/>
        <v>-2500000</v>
      </c>
      <c r="G11" s="34">
        <f t="shared" si="1"/>
        <v>-2000000</v>
      </c>
      <c r="H11" s="35">
        <f t="shared" si="2"/>
        <v>0.91803278688524592</v>
      </c>
      <c r="I11" s="35">
        <f t="shared" si="3"/>
        <v>0.93333333333333335</v>
      </c>
    </row>
    <row r="12" spans="1:9" ht="16" x14ac:dyDescent="0.45">
      <c r="A12" s="33" t="s">
        <v>204</v>
      </c>
      <c r="B12" s="42" t="s">
        <v>205</v>
      </c>
      <c r="C12" s="34">
        <v>34500000</v>
      </c>
      <c r="D12" s="34">
        <v>32100000</v>
      </c>
      <c r="E12" s="34">
        <v>35200000</v>
      </c>
      <c r="F12" s="34">
        <f t="shared" si="0"/>
        <v>-3100000</v>
      </c>
      <c r="G12" s="34">
        <f t="shared" si="1"/>
        <v>-2400000</v>
      </c>
      <c r="H12" s="35">
        <f t="shared" si="2"/>
        <v>0.91193181818181823</v>
      </c>
      <c r="I12" s="35">
        <f t="shared" si="3"/>
        <v>0.93043478260869561</v>
      </c>
    </row>
    <row r="13" spans="1:9" ht="16" x14ac:dyDescent="0.45">
      <c r="A13" s="33" t="s">
        <v>206</v>
      </c>
      <c r="B13" s="42" t="s">
        <v>207</v>
      </c>
      <c r="C13" s="34">
        <v>38000000</v>
      </c>
      <c r="D13" s="34">
        <v>35000000</v>
      </c>
      <c r="E13" s="34">
        <v>38500000</v>
      </c>
      <c r="F13" s="34">
        <f t="shared" si="0"/>
        <v>-3500000</v>
      </c>
      <c r="G13" s="34">
        <f t="shared" si="1"/>
        <v>-3000000</v>
      </c>
      <c r="H13" s="35">
        <f t="shared" si="2"/>
        <v>0.90909090909090906</v>
      </c>
      <c r="I13" s="35">
        <f t="shared" si="3"/>
        <v>0.92105263157894735</v>
      </c>
    </row>
    <row r="14" spans="1:9" ht="16" x14ac:dyDescent="0.45">
      <c r="A14" s="43" t="s">
        <v>208</v>
      </c>
      <c r="B14" s="43" t="s">
        <v>209</v>
      </c>
      <c r="C14" s="44">
        <v>41000000</v>
      </c>
      <c r="D14" s="44">
        <v>38400000</v>
      </c>
      <c r="E14" s="44">
        <v>41700000</v>
      </c>
      <c r="F14" s="44">
        <f t="shared" si="0"/>
        <v>-3300000</v>
      </c>
      <c r="G14" s="44">
        <f t="shared" si="1"/>
        <v>-2600000</v>
      </c>
      <c r="H14" s="45">
        <f t="shared" si="2"/>
        <v>0.92086330935251803</v>
      </c>
      <c r="I14" s="45">
        <f t="shared" si="3"/>
        <v>0.93658536585365859</v>
      </c>
    </row>
    <row r="15" spans="1:9" ht="16" x14ac:dyDescent="0.45">
      <c r="A15" s="33" t="s">
        <v>210</v>
      </c>
      <c r="B15" s="42" t="s">
        <v>211</v>
      </c>
      <c r="C15" s="34">
        <v>55000000</v>
      </c>
      <c r="D15" s="46"/>
      <c r="E15" s="46"/>
      <c r="F15" s="46" t="s">
        <v>212</v>
      </c>
      <c r="G15" s="46" t="s">
        <v>212</v>
      </c>
      <c r="H15" s="46" t="s">
        <v>212</v>
      </c>
      <c r="I15" s="46" t="s">
        <v>212</v>
      </c>
    </row>
    <row r="16" spans="1:9" ht="16" x14ac:dyDescent="0.45">
      <c r="A16" s="33" t="s">
        <v>213</v>
      </c>
      <c r="B16" s="42" t="s">
        <v>214</v>
      </c>
      <c r="C16" s="34">
        <v>71700000</v>
      </c>
      <c r="D16" s="46"/>
      <c r="E16" s="46"/>
      <c r="F16" s="46" t="s">
        <v>212</v>
      </c>
      <c r="G16" s="46" t="s">
        <v>212</v>
      </c>
      <c r="H16" s="46" t="s">
        <v>212</v>
      </c>
      <c r="I16" s="46" t="s">
        <v>212</v>
      </c>
    </row>
  </sheetData>
  <conditionalFormatting sqref="F5:G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{0AB16413-37EE-4F24-9482-2D468215866C}</x14:id>
        </ext>
      </extLst>
    </cfRule>
  </conditionalFormatting>
  <conditionalFormatting sqref="H5:I14">
    <cfRule type="iconSet" priority="2">
      <iconSet>
        <cfvo type="percent" val="0"/>
        <cfvo type="num" val="0.9"/>
        <cfvo type="num" val="1"/>
      </iconSe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B16413-37EE-4F24-9482-2D468215866C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F5:G14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"/>
  <sheetViews>
    <sheetView topLeftCell="A19" workbookViewId="0"/>
  </sheetViews>
  <sheetFormatPr defaultRowHeight="14.5" x14ac:dyDescent="0.35"/>
  <cols>
    <col min="1" max="1" width="109" customWidth="1"/>
    <col min="2" max="2" width="103" customWidth="1"/>
    <col min="3" max="3" width="33" customWidth="1"/>
    <col min="4" max="4" width="57" customWidth="1"/>
    <col min="5" max="5" width="32" customWidth="1"/>
  </cols>
  <sheetData>
    <row r="1" spans="1:5" ht="25" x14ac:dyDescent="0.7">
      <c r="A1" s="1" t="s">
        <v>215</v>
      </c>
    </row>
    <row r="2" spans="1:5" ht="16" x14ac:dyDescent="0.45">
      <c r="A2" s="2" t="s">
        <v>216</v>
      </c>
    </row>
    <row r="4" spans="1:5" ht="17.5" x14ac:dyDescent="0.45">
      <c r="A4" s="3" t="s">
        <v>217</v>
      </c>
    </row>
    <row r="5" spans="1:5" ht="16" x14ac:dyDescent="0.45">
      <c r="A5" s="4" t="s">
        <v>218</v>
      </c>
      <c r="B5" s="4" t="s">
        <v>219</v>
      </c>
      <c r="C5" s="4" t="s">
        <v>220</v>
      </c>
      <c r="D5" s="4" t="s">
        <v>221</v>
      </c>
    </row>
    <row r="6" spans="1:5" ht="16" x14ac:dyDescent="0.45">
      <c r="A6" s="5" t="s">
        <v>222</v>
      </c>
      <c r="B6" s="12">
        <v>1200000000</v>
      </c>
      <c r="C6" s="47">
        <v>1</v>
      </c>
      <c r="D6" s="6" t="s">
        <v>223</v>
      </c>
    </row>
    <row r="7" spans="1:5" ht="16" x14ac:dyDescent="0.45">
      <c r="A7" s="5" t="s">
        <v>224</v>
      </c>
      <c r="B7" s="12">
        <f>B6*0.05</f>
        <v>60000000</v>
      </c>
      <c r="C7" s="47">
        <f>B7/B6</f>
        <v>0.05</v>
      </c>
      <c r="D7" s="6" t="s">
        <v>225</v>
      </c>
    </row>
    <row r="8" spans="1:5" ht="16" x14ac:dyDescent="0.45">
      <c r="A8" s="5" t="s">
        <v>226</v>
      </c>
      <c r="B8" s="12">
        <v>72000000</v>
      </c>
      <c r="C8" s="47">
        <f>B8/B6</f>
        <v>0.06</v>
      </c>
      <c r="D8" s="6" t="s">
        <v>227</v>
      </c>
    </row>
    <row r="9" spans="1:5" ht="16" x14ac:dyDescent="0.45">
      <c r="A9" s="15" t="s">
        <v>228</v>
      </c>
      <c r="B9" s="16">
        <f>MAX(0, B8-B7)</f>
        <v>12000000</v>
      </c>
      <c r="C9" s="48">
        <f>B9/B6</f>
        <v>0.01</v>
      </c>
      <c r="D9" s="18" t="s">
        <v>229</v>
      </c>
    </row>
    <row r="12" spans="1:5" ht="17.5" x14ac:dyDescent="0.45">
      <c r="A12" s="3" t="s">
        <v>230</v>
      </c>
    </row>
    <row r="13" spans="1:5" ht="16" x14ac:dyDescent="0.45">
      <c r="A13" s="10" t="s">
        <v>231</v>
      </c>
      <c r="B13" s="10" t="s">
        <v>232</v>
      </c>
      <c r="C13" s="10" t="s">
        <v>233</v>
      </c>
      <c r="D13" s="10" t="s">
        <v>234</v>
      </c>
      <c r="E13" s="10" t="s">
        <v>235</v>
      </c>
    </row>
    <row r="14" spans="1:5" ht="16" x14ac:dyDescent="0.45">
      <c r="A14" s="7" t="s">
        <v>236</v>
      </c>
      <c r="B14" s="6" t="s">
        <v>237</v>
      </c>
      <c r="C14" s="49">
        <v>5000000</v>
      </c>
      <c r="D14" s="5" t="s">
        <v>238</v>
      </c>
      <c r="E14" s="6" t="s">
        <v>239</v>
      </c>
    </row>
    <row r="15" spans="1:5" ht="16" x14ac:dyDescent="0.45">
      <c r="A15" s="7" t="s">
        <v>240</v>
      </c>
      <c r="B15" s="6" t="s">
        <v>241</v>
      </c>
      <c r="C15" s="49">
        <v>4000000</v>
      </c>
      <c r="D15" s="5" t="s">
        <v>242</v>
      </c>
      <c r="E15" s="6" t="s">
        <v>243</v>
      </c>
    </row>
    <row r="16" spans="1:5" ht="16" x14ac:dyDescent="0.45">
      <c r="A16" s="7" t="s">
        <v>244</v>
      </c>
      <c r="B16" s="6" t="s">
        <v>245</v>
      </c>
      <c r="C16" s="49">
        <v>2000000</v>
      </c>
      <c r="D16" s="5" t="s">
        <v>246</v>
      </c>
      <c r="E16" s="6" t="s">
        <v>247</v>
      </c>
    </row>
    <row r="17" spans="1:5" ht="16" x14ac:dyDescent="0.45">
      <c r="A17" s="7" t="s">
        <v>248</v>
      </c>
      <c r="B17" s="6" t="s">
        <v>249</v>
      </c>
      <c r="C17" s="49">
        <v>1000000</v>
      </c>
      <c r="D17" s="5" t="s">
        <v>250</v>
      </c>
      <c r="E17" s="6" t="s">
        <v>251</v>
      </c>
    </row>
    <row r="18" spans="1:5" ht="16" x14ac:dyDescent="0.45">
      <c r="A18" s="38" t="s">
        <v>252</v>
      </c>
      <c r="B18" s="50"/>
      <c r="C18" s="39">
        <f>SUM(C14:C17)</f>
        <v>12000000</v>
      </c>
      <c r="D18" s="50"/>
      <c r="E18" s="50"/>
    </row>
    <row r="20" spans="1:5" ht="17.5" x14ac:dyDescent="0.45">
      <c r="A20" s="3" t="s">
        <v>253</v>
      </c>
    </row>
    <row r="21" spans="1:5" ht="16" x14ac:dyDescent="0.45">
      <c r="A21" s="5" t="s">
        <v>254</v>
      </c>
      <c r="B21" s="12">
        <f>B8</f>
        <v>72000000</v>
      </c>
      <c r="C21" s="47">
        <f>B21/B6</f>
        <v>0.06</v>
      </c>
    </row>
    <row r="22" spans="1:5" ht="16" x14ac:dyDescent="0.45">
      <c r="A22" s="5" t="s">
        <v>255</v>
      </c>
      <c r="B22" s="12">
        <f>C18</f>
        <v>12000000</v>
      </c>
      <c r="C22" s="47">
        <f>B22/B6</f>
        <v>0.01</v>
      </c>
    </row>
    <row r="23" spans="1:5" ht="16" x14ac:dyDescent="0.45">
      <c r="A23" s="51" t="s">
        <v>256</v>
      </c>
      <c r="B23" s="44">
        <f>B21-B22</f>
        <v>60000000</v>
      </c>
      <c r="C23" s="52">
        <f>B23/B6</f>
        <v>0.05</v>
      </c>
    </row>
    <row r="24" spans="1:5" ht="16" x14ac:dyDescent="0.45">
      <c r="A24" s="51" t="s">
        <v>257</v>
      </c>
      <c r="B24" s="44">
        <f>MAX(0, B23-B7)</f>
        <v>0</v>
      </c>
      <c r="C24" s="52">
        <f>B24/B6</f>
        <v>0</v>
      </c>
    </row>
    <row r="25" spans="1:5" ht="16" x14ac:dyDescent="0.45">
      <c r="A25" s="53" t="s">
        <v>258</v>
      </c>
      <c r="B25" s="54" t="str">
        <f>IF(B23&lt;=B7, "MÅL OPPNÅDD: INNENFOR 5,0 % GRENSE", "FORTSATT DISPENSASJONSBEHOV (Restbeløp søkes)")</f>
        <v>MÅL OPPNÅDD: INNENFOR 5,0 % GRENSE</v>
      </c>
      <c r="C25" s="55"/>
    </row>
  </sheetData>
  <conditionalFormatting sqref="C14:C1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{0D4F647B-A1E1-4D7A-8CF1-C20989242865}</x14:id>
        </ext>
      </extLst>
    </cfRule>
  </conditionalFormatting>
  <conditionalFormatting sqref="D9">
    <cfRule type="expression" dxfId="34" priority="2">
      <formula>ISNUMBER(SEARCH("DISPENSASJON",$D9))</formula>
    </cfRule>
  </conditionalFormatting>
  <conditionalFormatting sqref="E14:E17">
    <cfRule type="expression" dxfId="33" priority="3">
      <formula>LEFT($E14,3)="Høy"</formula>
    </cfRule>
  </conditionalFormatting>
  <conditionalFormatting sqref="E14:E17">
    <cfRule type="expression" dxfId="32" priority="4">
      <formula>LEFT($E14,7)="Middels"</formula>
    </cfRule>
  </conditionalFormatting>
  <conditionalFormatting sqref="B25">
    <cfRule type="expression" dxfId="31" priority="5">
      <formula>ISNUMBER(SEARCH("MÅL OPPNÅDD",$B25))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4F647B-A1E1-4D7A-8CF1-C20989242865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C14:C17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7"/>
  <sheetViews>
    <sheetView topLeftCell="A16" workbookViewId="0"/>
  </sheetViews>
  <sheetFormatPr defaultRowHeight="14.5" x14ac:dyDescent="0.35"/>
  <cols>
    <col min="1" max="1" width="92" customWidth="1"/>
    <col min="2" max="2" width="18" customWidth="1"/>
    <col min="3" max="3" width="42" customWidth="1"/>
    <col min="4" max="4" width="70" customWidth="1"/>
    <col min="5" max="5" width="29" customWidth="1"/>
    <col min="6" max="6" width="26" customWidth="1"/>
    <col min="7" max="7" width="18" customWidth="1"/>
    <col min="8" max="8" width="17" customWidth="1"/>
    <col min="9" max="9" width="14" customWidth="1"/>
    <col min="10" max="10" width="12" customWidth="1"/>
    <col min="11" max="11" width="16" customWidth="1"/>
    <col min="12" max="12" width="107" customWidth="1"/>
    <col min="13" max="13" width="16" customWidth="1"/>
    <col min="14" max="14" width="20" customWidth="1"/>
  </cols>
  <sheetData>
    <row r="1" spans="1:14" ht="25" x14ac:dyDescent="0.7">
      <c r="A1" s="1" t="s">
        <v>259</v>
      </c>
    </row>
    <row r="2" spans="1:14" ht="16" x14ac:dyDescent="0.45">
      <c r="A2" s="2" t="s">
        <v>260</v>
      </c>
    </row>
    <row r="4" spans="1:14" ht="17.5" x14ac:dyDescent="0.45">
      <c r="A4" s="3" t="s">
        <v>261</v>
      </c>
    </row>
    <row r="5" spans="1:14" ht="16" x14ac:dyDescent="0.45">
      <c r="A5" s="4" t="s">
        <v>35</v>
      </c>
      <c r="B5" s="4" t="s">
        <v>262</v>
      </c>
      <c r="C5" s="4" t="s">
        <v>263</v>
      </c>
      <c r="D5" s="4" t="s">
        <v>264</v>
      </c>
      <c r="E5" s="4" t="s">
        <v>265</v>
      </c>
    </row>
    <row r="6" spans="1:14" ht="16" x14ac:dyDescent="0.45">
      <c r="A6" s="5" t="s">
        <v>266</v>
      </c>
      <c r="B6" s="56">
        <v>15</v>
      </c>
      <c r="C6" s="57">
        <f>COUNTIF(M12:M26, "FLAGGED")</f>
        <v>7</v>
      </c>
      <c r="D6" s="12">
        <f>SUMIF(M12:M26, "FLAGGED", E12:E26)</f>
        <v>19420</v>
      </c>
      <c r="E6" s="24" t="s">
        <v>267</v>
      </c>
    </row>
    <row r="7" spans="1:14" ht="16" x14ac:dyDescent="0.45">
      <c r="A7" s="5" t="s">
        <v>268</v>
      </c>
      <c r="B7" s="56">
        <v>5</v>
      </c>
      <c r="C7" s="57">
        <f>COUNTIF(Fact_UBW_Audit!I2:I6, "&lt;&gt;OK")</f>
        <v>2</v>
      </c>
      <c r="D7" s="12">
        <f>SUMIF(Fact_UBW_Audit!I2:I6, "&lt;&gt;OK", Fact_UBW_Audit!D2:D6)</f>
        <v>4450</v>
      </c>
      <c r="E7" s="5" t="s">
        <v>269</v>
      </c>
    </row>
    <row r="8" spans="1:14" ht="16" x14ac:dyDescent="0.45">
      <c r="A8" s="58" t="s">
        <v>270</v>
      </c>
      <c r="B8" s="59">
        <v>20</v>
      </c>
      <c r="C8" s="60">
        <f>C6+C7</f>
        <v>9</v>
      </c>
      <c r="D8" s="61">
        <f>D6+D7</f>
        <v>23870</v>
      </c>
      <c r="E8" s="58" t="s">
        <v>271</v>
      </c>
    </row>
    <row r="10" spans="1:14" ht="17.5" x14ac:dyDescent="0.45">
      <c r="A10" s="3" t="s">
        <v>272</v>
      </c>
    </row>
    <row r="11" spans="1:14" ht="16" x14ac:dyDescent="0.45">
      <c r="A11" s="62" t="s">
        <v>273</v>
      </c>
      <c r="B11" s="63" t="s">
        <v>274</v>
      </c>
      <c r="C11" s="62" t="s">
        <v>275</v>
      </c>
      <c r="D11" s="63" t="s">
        <v>276</v>
      </c>
      <c r="E11" s="64" t="s">
        <v>219</v>
      </c>
      <c r="F11" s="63" t="s">
        <v>277</v>
      </c>
      <c r="G11" s="63" t="s">
        <v>278</v>
      </c>
      <c r="H11" s="64" t="s">
        <v>279</v>
      </c>
      <c r="I11" s="63" t="s">
        <v>280</v>
      </c>
      <c r="J11" s="63" t="s">
        <v>281</v>
      </c>
      <c r="K11" s="63" t="s">
        <v>282</v>
      </c>
      <c r="L11" s="63" t="s">
        <v>283</v>
      </c>
      <c r="M11" s="62" t="s">
        <v>284</v>
      </c>
      <c r="N11" s="62" t="s">
        <v>285</v>
      </c>
    </row>
    <row r="12" spans="1:14" ht="16" x14ac:dyDescent="0.45">
      <c r="A12" s="7" t="s">
        <v>286</v>
      </c>
      <c r="B12" s="6" t="s">
        <v>287</v>
      </c>
      <c r="C12" s="7" t="s">
        <v>288</v>
      </c>
      <c r="D12" s="6" t="s">
        <v>289</v>
      </c>
      <c r="E12" s="65">
        <v>3450</v>
      </c>
      <c r="F12" s="6" t="s">
        <v>290</v>
      </c>
      <c r="G12" s="6" t="s">
        <v>291</v>
      </c>
      <c r="H12" s="66">
        <v>0</v>
      </c>
      <c r="I12" s="6" t="s">
        <v>291</v>
      </c>
      <c r="J12" s="7" t="s">
        <v>292</v>
      </c>
      <c r="K12" s="7" t="s">
        <v>293</v>
      </c>
      <c r="L12" s="6" t="s">
        <v>294</v>
      </c>
      <c r="M12" s="36" t="s">
        <v>295</v>
      </c>
      <c r="N12" s="36" t="s">
        <v>296</v>
      </c>
    </row>
    <row r="13" spans="1:14" ht="16" x14ac:dyDescent="0.45">
      <c r="A13" s="67" t="s">
        <v>297</v>
      </c>
      <c r="B13" s="19" t="s">
        <v>298</v>
      </c>
      <c r="C13" s="67" t="s">
        <v>299</v>
      </c>
      <c r="D13" s="19" t="s">
        <v>300</v>
      </c>
      <c r="E13" s="68">
        <v>2100</v>
      </c>
      <c r="F13" s="19" t="s">
        <v>301</v>
      </c>
      <c r="G13" s="19" t="s">
        <v>296</v>
      </c>
      <c r="H13" s="69">
        <v>0</v>
      </c>
      <c r="I13" s="19" t="s">
        <v>291</v>
      </c>
      <c r="J13" s="67" t="s">
        <v>302</v>
      </c>
      <c r="K13" s="67" t="s">
        <v>303</v>
      </c>
      <c r="L13" s="18" t="s">
        <v>304</v>
      </c>
      <c r="M13" s="37" t="s">
        <v>305</v>
      </c>
      <c r="N13" s="37" t="s">
        <v>291</v>
      </c>
    </row>
    <row r="14" spans="1:14" ht="16" x14ac:dyDescent="0.45">
      <c r="A14" s="7" t="s">
        <v>306</v>
      </c>
      <c r="B14" s="6" t="s">
        <v>307</v>
      </c>
      <c r="C14" s="7" t="s">
        <v>308</v>
      </c>
      <c r="D14" s="6" t="s">
        <v>309</v>
      </c>
      <c r="E14" s="65">
        <v>850</v>
      </c>
      <c r="F14" s="6" t="s">
        <v>310</v>
      </c>
      <c r="G14" s="6" t="s">
        <v>291</v>
      </c>
      <c r="H14" s="66">
        <v>180</v>
      </c>
      <c r="I14" s="6" t="s">
        <v>291</v>
      </c>
      <c r="J14" s="7" t="s">
        <v>311</v>
      </c>
      <c r="K14" s="7" t="s">
        <v>312</v>
      </c>
      <c r="L14" s="6" t="s">
        <v>294</v>
      </c>
      <c r="M14" s="36" t="s">
        <v>295</v>
      </c>
      <c r="N14" s="36" t="s">
        <v>296</v>
      </c>
    </row>
    <row r="15" spans="1:14" ht="16" x14ac:dyDescent="0.45">
      <c r="A15" s="67" t="s">
        <v>313</v>
      </c>
      <c r="B15" s="19" t="s">
        <v>314</v>
      </c>
      <c r="C15" s="67" t="s">
        <v>315</v>
      </c>
      <c r="D15" s="19" t="s">
        <v>316</v>
      </c>
      <c r="E15" s="68">
        <v>4800</v>
      </c>
      <c r="F15" s="19" t="s">
        <v>317</v>
      </c>
      <c r="G15" s="19" t="s">
        <v>291</v>
      </c>
      <c r="H15" s="69">
        <v>0</v>
      </c>
      <c r="I15" s="19" t="s">
        <v>291</v>
      </c>
      <c r="J15" s="67" t="s">
        <v>318</v>
      </c>
      <c r="K15" s="67" t="s">
        <v>318</v>
      </c>
      <c r="L15" s="18" t="s">
        <v>319</v>
      </c>
      <c r="M15" s="37" t="s">
        <v>305</v>
      </c>
      <c r="N15" s="37" t="s">
        <v>291</v>
      </c>
    </row>
    <row r="16" spans="1:14" ht="16" x14ac:dyDescent="0.45">
      <c r="A16" s="67" t="s">
        <v>320</v>
      </c>
      <c r="B16" s="19" t="s">
        <v>321</v>
      </c>
      <c r="C16" s="67" t="s">
        <v>322</v>
      </c>
      <c r="D16" s="19" t="s">
        <v>323</v>
      </c>
      <c r="E16" s="68">
        <v>3200</v>
      </c>
      <c r="F16" s="19" t="s">
        <v>324</v>
      </c>
      <c r="G16" s="19" t="s">
        <v>296</v>
      </c>
      <c r="H16" s="69">
        <v>0</v>
      </c>
      <c r="I16" s="19" t="s">
        <v>291</v>
      </c>
      <c r="J16" s="67" t="s">
        <v>325</v>
      </c>
      <c r="K16" s="67" t="s">
        <v>326</v>
      </c>
      <c r="L16" s="18" t="s">
        <v>327</v>
      </c>
      <c r="M16" s="37" t="s">
        <v>305</v>
      </c>
      <c r="N16" s="37" t="s">
        <v>291</v>
      </c>
    </row>
    <row r="17" spans="1:14" ht="16" x14ac:dyDescent="0.45">
      <c r="A17" s="67" t="s">
        <v>328</v>
      </c>
      <c r="B17" s="19" t="s">
        <v>329</v>
      </c>
      <c r="C17" s="67" t="s">
        <v>330</v>
      </c>
      <c r="D17" s="19" t="s">
        <v>331</v>
      </c>
      <c r="E17" s="68">
        <v>450</v>
      </c>
      <c r="F17" s="19" t="s">
        <v>310</v>
      </c>
      <c r="G17" s="19" t="s">
        <v>291</v>
      </c>
      <c r="H17" s="69">
        <v>65</v>
      </c>
      <c r="I17" s="19" t="s">
        <v>291</v>
      </c>
      <c r="J17" s="67" t="s">
        <v>332</v>
      </c>
      <c r="K17" s="67" t="s">
        <v>333</v>
      </c>
      <c r="L17" s="18" t="s">
        <v>334</v>
      </c>
      <c r="M17" s="37" t="s">
        <v>305</v>
      </c>
      <c r="N17" s="37" t="s">
        <v>291</v>
      </c>
    </row>
    <row r="18" spans="1:14" ht="16" x14ac:dyDescent="0.45">
      <c r="A18" s="67" t="s">
        <v>335</v>
      </c>
      <c r="B18" s="19" t="s">
        <v>336</v>
      </c>
      <c r="C18" s="67" t="s">
        <v>337</v>
      </c>
      <c r="D18" s="19" t="s">
        <v>338</v>
      </c>
      <c r="E18" s="68">
        <v>620</v>
      </c>
      <c r="F18" s="19" t="s">
        <v>310</v>
      </c>
      <c r="G18" s="19" t="s">
        <v>291</v>
      </c>
      <c r="H18" s="69">
        <v>0</v>
      </c>
      <c r="I18" s="19" t="s">
        <v>296</v>
      </c>
      <c r="J18" s="67" t="s">
        <v>339</v>
      </c>
      <c r="K18" s="67" t="s">
        <v>340</v>
      </c>
      <c r="L18" s="18" t="s">
        <v>341</v>
      </c>
      <c r="M18" s="37" t="s">
        <v>305</v>
      </c>
      <c r="N18" s="37" t="s">
        <v>291</v>
      </c>
    </row>
    <row r="19" spans="1:14" ht="16" x14ac:dyDescent="0.45">
      <c r="A19" s="7" t="s">
        <v>342</v>
      </c>
      <c r="B19" s="6" t="s">
        <v>343</v>
      </c>
      <c r="C19" s="7" t="s">
        <v>344</v>
      </c>
      <c r="D19" s="6" t="s">
        <v>345</v>
      </c>
      <c r="E19" s="65">
        <v>8900</v>
      </c>
      <c r="F19" s="6" t="s">
        <v>346</v>
      </c>
      <c r="G19" s="6" t="s">
        <v>291</v>
      </c>
      <c r="H19" s="66">
        <v>0</v>
      </c>
      <c r="I19" s="6" t="s">
        <v>291</v>
      </c>
      <c r="J19" s="7" t="s">
        <v>347</v>
      </c>
      <c r="K19" s="7" t="s">
        <v>348</v>
      </c>
      <c r="L19" s="6" t="s">
        <v>294</v>
      </c>
      <c r="M19" s="36" t="s">
        <v>295</v>
      </c>
      <c r="N19" s="36" t="s">
        <v>296</v>
      </c>
    </row>
    <row r="20" spans="1:14" ht="16" x14ac:dyDescent="0.45">
      <c r="A20" s="7" t="s">
        <v>349</v>
      </c>
      <c r="B20" s="6" t="s">
        <v>350</v>
      </c>
      <c r="C20" s="7" t="s">
        <v>351</v>
      </c>
      <c r="D20" s="6" t="s">
        <v>352</v>
      </c>
      <c r="E20" s="65">
        <v>310</v>
      </c>
      <c r="F20" s="6" t="s">
        <v>310</v>
      </c>
      <c r="G20" s="6" t="s">
        <v>291</v>
      </c>
      <c r="H20" s="66">
        <v>0</v>
      </c>
      <c r="I20" s="6" t="s">
        <v>291</v>
      </c>
      <c r="J20" s="7" t="s">
        <v>353</v>
      </c>
      <c r="K20" s="7" t="s">
        <v>354</v>
      </c>
      <c r="L20" s="6" t="s">
        <v>294</v>
      </c>
      <c r="M20" s="36" t="s">
        <v>295</v>
      </c>
      <c r="N20" s="36" t="s">
        <v>296</v>
      </c>
    </row>
    <row r="21" spans="1:14" ht="16" x14ac:dyDescent="0.45">
      <c r="A21" s="7" t="s">
        <v>355</v>
      </c>
      <c r="B21" s="6" t="s">
        <v>356</v>
      </c>
      <c r="C21" s="7" t="s">
        <v>357</v>
      </c>
      <c r="D21" s="6" t="s">
        <v>358</v>
      </c>
      <c r="E21" s="65">
        <v>2750</v>
      </c>
      <c r="F21" s="6" t="s">
        <v>290</v>
      </c>
      <c r="G21" s="6" t="s">
        <v>291</v>
      </c>
      <c r="H21" s="66">
        <v>0</v>
      </c>
      <c r="I21" s="6" t="s">
        <v>291</v>
      </c>
      <c r="J21" s="7" t="s">
        <v>359</v>
      </c>
      <c r="K21" s="7" t="s">
        <v>360</v>
      </c>
      <c r="L21" s="6" t="s">
        <v>294</v>
      </c>
      <c r="M21" s="36" t="s">
        <v>295</v>
      </c>
      <c r="N21" s="36" t="s">
        <v>296</v>
      </c>
    </row>
    <row r="22" spans="1:14" ht="16" x14ac:dyDescent="0.45">
      <c r="A22" s="67" t="s">
        <v>361</v>
      </c>
      <c r="B22" s="19" t="s">
        <v>362</v>
      </c>
      <c r="C22" s="67" t="s">
        <v>363</v>
      </c>
      <c r="D22" s="19" t="s">
        <v>364</v>
      </c>
      <c r="E22" s="68">
        <v>1850</v>
      </c>
      <c r="F22" s="19" t="s">
        <v>301</v>
      </c>
      <c r="G22" s="19" t="s">
        <v>291</v>
      </c>
      <c r="H22" s="69">
        <v>0</v>
      </c>
      <c r="I22" s="19" t="s">
        <v>296</v>
      </c>
      <c r="J22" s="67" t="s">
        <v>365</v>
      </c>
      <c r="K22" s="67" t="s">
        <v>366</v>
      </c>
      <c r="L22" s="18" t="s">
        <v>341</v>
      </c>
      <c r="M22" s="37" t="s">
        <v>305</v>
      </c>
      <c r="N22" s="37" t="s">
        <v>291</v>
      </c>
    </row>
    <row r="23" spans="1:14" ht="16" x14ac:dyDescent="0.45">
      <c r="A23" s="7" t="s">
        <v>367</v>
      </c>
      <c r="B23" s="6" t="s">
        <v>368</v>
      </c>
      <c r="C23" s="7" t="s">
        <v>369</v>
      </c>
      <c r="D23" s="6" t="s">
        <v>370</v>
      </c>
      <c r="E23" s="65">
        <v>3900</v>
      </c>
      <c r="F23" s="6" t="s">
        <v>371</v>
      </c>
      <c r="G23" s="6" t="s">
        <v>291</v>
      </c>
      <c r="H23" s="66">
        <v>0</v>
      </c>
      <c r="I23" s="6" t="s">
        <v>291</v>
      </c>
      <c r="J23" s="7" t="s">
        <v>372</v>
      </c>
      <c r="K23" s="7" t="s">
        <v>373</v>
      </c>
      <c r="L23" s="6" t="s">
        <v>294</v>
      </c>
      <c r="M23" s="36" t="s">
        <v>295</v>
      </c>
      <c r="N23" s="36" t="s">
        <v>296</v>
      </c>
    </row>
    <row r="24" spans="1:14" ht="16" x14ac:dyDescent="0.45">
      <c r="A24" s="7" t="s">
        <v>374</v>
      </c>
      <c r="B24" s="6" t="s">
        <v>375</v>
      </c>
      <c r="C24" s="7" t="s">
        <v>376</v>
      </c>
      <c r="D24" s="6" t="s">
        <v>377</v>
      </c>
      <c r="E24" s="65">
        <v>420</v>
      </c>
      <c r="F24" s="6" t="s">
        <v>310</v>
      </c>
      <c r="G24" s="6" t="s">
        <v>291</v>
      </c>
      <c r="H24" s="66">
        <v>90</v>
      </c>
      <c r="I24" s="6" t="s">
        <v>291</v>
      </c>
      <c r="J24" s="7" t="s">
        <v>378</v>
      </c>
      <c r="K24" s="7" t="s">
        <v>379</v>
      </c>
      <c r="L24" s="6" t="s">
        <v>294</v>
      </c>
      <c r="M24" s="36" t="s">
        <v>295</v>
      </c>
      <c r="N24" s="36" t="s">
        <v>296</v>
      </c>
    </row>
    <row r="25" spans="1:14" ht="16" x14ac:dyDescent="0.45">
      <c r="A25" s="67" t="s">
        <v>380</v>
      </c>
      <c r="B25" s="19" t="s">
        <v>381</v>
      </c>
      <c r="C25" s="67" t="s">
        <v>382</v>
      </c>
      <c r="D25" s="19" t="s">
        <v>383</v>
      </c>
      <c r="E25" s="68">
        <v>6400</v>
      </c>
      <c r="F25" s="19" t="s">
        <v>346</v>
      </c>
      <c r="G25" s="19" t="s">
        <v>291</v>
      </c>
      <c r="H25" s="69">
        <v>0</v>
      </c>
      <c r="I25" s="19" t="s">
        <v>291</v>
      </c>
      <c r="J25" s="67" t="s">
        <v>384</v>
      </c>
      <c r="K25" s="67" t="s">
        <v>384</v>
      </c>
      <c r="L25" s="18" t="s">
        <v>319</v>
      </c>
      <c r="M25" s="37" t="s">
        <v>305</v>
      </c>
      <c r="N25" s="37" t="s">
        <v>291</v>
      </c>
    </row>
    <row r="26" spans="1:14" ht="16" x14ac:dyDescent="0.45">
      <c r="A26" s="7" t="s">
        <v>385</v>
      </c>
      <c r="B26" s="6" t="s">
        <v>386</v>
      </c>
      <c r="C26" s="7" t="s">
        <v>387</v>
      </c>
      <c r="D26" s="6" t="s">
        <v>388</v>
      </c>
      <c r="E26" s="65">
        <v>850</v>
      </c>
      <c r="F26" s="6" t="s">
        <v>310</v>
      </c>
      <c r="G26" s="6" t="s">
        <v>291</v>
      </c>
      <c r="H26" s="66">
        <v>0</v>
      </c>
      <c r="I26" s="6" t="s">
        <v>291</v>
      </c>
      <c r="J26" s="7" t="s">
        <v>389</v>
      </c>
      <c r="K26" s="7" t="s">
        <v>390</v>
      </c>
      <c r="L26" s="6" t="s">
        <v>294</v>
      </c>
      <c r="M26" s="36" t="s">
        <v>295</v>
      </c>
      <c r="N26" s="36" t="s">
        <v>296</v>
      </c>
    </row>
    <row r="27" spans="1:14" ht="16" x14ac:dyDescent="0.45">
      <c r="A27" s="38" t="s">
        <v>391</v>
      </c>
      <c r="B27" s="50"/>
      <c r="C27" s="50"/>
      <c r="D27" s="50"/>
      <c r="E27" s="39">
        <f>SUM(E12:E26)</f>
        <v>40850</v>
      </c>
      <c r="F27" s="50"/>
      <c r="G27" s="50"/>
      <c r="H27" s="70">
        <f>SUM(H12:H26)</f>
        <v>335</v>
      </c>
      <c r="I27" s="50"/>
      <c r="J27" s="50"/>
      <c r="K27" s="50"/>
      <c r="L27" s="50"/>
      <c r="M27" s="50"/>
      <c r="N27" s="50"/>
    </row>
  </sheetData>
  <conditionalFormatting sqref="C6:C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{B24B51BD-C3FE-4A4C-B2FE-35BE7865EB4A}</x14:id>
        </ext>
      </extLst>
    </cfRule>
  </conditionalFormatting>
  <conditionalFormatting sqref="D6:D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{125E0EE8-16DB-49F6-8BF7-E169FD7BD57C}</x14:id>
        </ext>
      </extLst>
    </cfRule>
  </conditionalFormatting>
  <conditionalFormatting sqref="E12:E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{152A9935-CF1A-4811-AEA9-6E3C91260B21}</x14:id>
        </ext>
      </extLst>
    </cfRule>
  </conditionalFormatting>
  <conditionalFormatting sqref="M12:M26">
    <cfRule type="expression" dxfId="30" priority="4">
      <formula>$M12="APPROVED"</formula>
    </cfRule>
  </conditionalFormatting>
  <conditionalFormatting sqref="M12:M26">
    <cfRule type="expression" dxfId="29" priority="5">
      <formula>$M12="FLAGGED"</formula>
    </cfRule>
  </conditionalFormatting>
  <conditionalFormatting sqref="N12:N26">
    <cfRule type="expression" dxfId="28" priority="6">
      <formula>$N12="NEI"</formula>
    </cfRule>
  </conditionalFormatting>
  <conditionalFormatting sqref="N12:N26">
    <cfRule type="expression" dxfId="27" priority="7">
      <formula>$N12="JA"</formula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4B51BD-C3FE-4A4C-B2FE-35BE7865EB4A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C6:C7</xm:sqref>
        </x14:conditionalFormatting>
        <x14:conditionalFormatting xmlns:xm="http://schemas.microsoft.com/office/excel/2006/main">
          <x14:cfRule type="dataBar" id="{125E0EE8-16DB-49F6-8BF7-E169FD7BD57C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D6:D7</xm:sqref>
        </x14:conditionalFormatting>
        <x14:conditionalFormatting xmlns:xm="http://schemas.microsoft.com/office/excel/2006/main">
          <x14:cfRule type="dataBar" id="{152A9935-CF1A-4811-AEA9-6E3C91260B21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E12:E26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"/>
  <sheetViews>
    <sheetView workbookViewId="0"/>
  </sheetViews>
  <sheetFormatPr defaultRowHeight="14.5" x14ac:dyDescent="0.35"/>
  <cols>
    <col min="1" max="1" width="14" customWidth="1"/>
    <col min="2" max="2" width="45" customWidth="1"/>
    <col min="3" max="3" width="29" customWidth="1"/>
    <col min="4" max="4" width="22" customWidth="1"/>
    <col min="5" max="5" width="32" customWidth="1"/>
    <col min="6" max="6" width="20" customWidth="1"/>
    <col min="7" max="7" width="12" customWidth="1"/>
  </cols>
  <sheetData>
    <row r="1" spans="1:7" ht="16" x14ac:dyDescent="0.45">
      <c r="A1" s="31" t="s">
        <v>392</v>
      </c>
      <c r="B1" s="31" t="s">
        <v>393</v>
      </c>
      <c r="C1" s="31" t="s">
        <v>394</v>
      </c>
      <c r="D1" s="31" t="s">
        <v>395</v>
      </c>
      <c r="E1" s="31" t="s">
        <v>396</v>
      </c>
      <c r="F1" s="32" t="s">
        <v>397</v>
      </c>
      <c r="G1" s="31" t="s">
        <v>398</v>
      </c>
    </row>
    <row r="2" spans="1:7" ht="16" x14ac:dyDescent="0.45">
      <c r="A2" s="7" t="s">
        <v>162</v>
      </c>
      <c r="B2" s="6" t="s">
        <v>163</v>
      </c>
      <c r="C2" s="6" t="s">
        <v>399</v>
      </c>
      <c r="D2" s="6" t="s">
        <v>400</v>
      </c>
      <c r="E2" s="6" t="s">
        <v>401</v>
      </c>
      <c r="F2" s="13">
        <v>18500000</v>
      </c>
      <c r="G2" s="6" t="s">
        <v>402</v>
      </c>
    </row>
    <row r="3" spans="1:7" ht="16" x14ac:dyDescent="0.45">
      <c r="A3" s="7" t="s">
        <v>164</v>
      </c>
      <c r="B3" s="6" t="s">
        <v>165</v>
      </c>
      <c r="C3" s="6" t="s">
        <v>403</v>
      </c>
      <c r="D3" s="6" t="s">
        <v>404</v>
      </c>
      <c r="E3" s="6" t="s">
        <v>405</v>
      </c>
      <c r="F3" s="13">
        <v>8200000</v>
      </c>
      <c r="G3" s="6" t="s">
        <v>406</v>
      </c>
    </row>
    <row r="4" spans="1:7" ht="16" x14ac:dyDescent="0.45">
      <c r="A4" s="7" t="s">
        <v>166</v>
      </c>
      <c r="B4" s="6" t="s">
        <v>167</v>
      </c>
      <c r="C4" s="6" t="s">
        <v>407</v>
      </c>
      <c r="D4" s="6" t="s">
        <v>408</v>
      </c>
      <c r="E4" s="6" t="s">
        <v>409</v>
      </c>
      <c r="F4" s="13">
        <v>45000000</v>
      </c>
      <c r="G4" s="6" t="s">
        <v>406</v>
      </c>
    </row>
    <row r="5" spans="1:7" ht="16" x14ac:dyDescent="0.45">
      <c r="A5" s="7" t="s">
        <v>168</v>
      </c>
      <c r="B5" s="6" t="s">
        <v>169</v>
      </c>
      <c r="C5" s="6" t="s">
        <v>410</v>
      </c>
      <c r="D5" s="6" t="s">
        <v>411</v>
      </c>
      <c r="E5" s="6" t="s">
        <v>412</v>
      </c>
      <c r="F5" s="13">
        <v>4000000</v>
      </c>
      <c r="G5" s="6" t="s">
        <v>413</v>
      </c>
    </row>
    <row r="6" spans="1:7" ht="16" x14ac:dyDescent="0.45">
      <c r="A6" s="7" t="s">
        <v>170</v>
      </c>
      <c r="B6" s="6" t="s">
        <v>171</v>
      </c>
      <c r="C6" s="6" t="s">
        <v>414</v>
      </c>
      <c r="D6" s="6" t="s">
        <v>415</v>
      </c>
      <c r="E6" s="6" t="s">
        <v>412</v>
      </c>
      <c r="F6" s="13">
        <v>2800000</v>
      </c>
      <c r="G6" s="6" t="s">
        <v>402</v>
      </c>
    </row>
    <row r="7" spans="1:7" ht="16" x14ac:dyDescent="0.45">
      <c r="A7" s="7" t="s">
        <v>172</v>
      </c>
      <c r="B7" s="6" t="s">
        <v>173</v>
      </c>
      <c r="C7" s="6" t="s">
        <v>399</v>
      </c>
      <c r="D7" s="6" t="s">
        <v>416</v>
      </c>
      <c r="E7" s="6" t="s">
        <v>417</v>
      </c>
      <c r="F7" s="13">
        <v>6200000</v>
      </c>
      <c r="G7" s="6" t="s">
        <v>402</v>
      </c>
    </row>
    <row r="8" spans="1:7" ht="16" x14ac:dyDescent="0.45">
      <c r="A8" s="7" t="s">
        <v>174</v>
      </c>
      <c r="B8" s="6" t="s">
        <v>175</v>
      </c>
      <c r="C8" s="6" t="s">
        <v>418</v>
      </c>
      <c r="D8" s="6" t="s">
        <v>419</v>
      </c>
      <c r="E8" s="6" t="s">
        <v>417</v>
      </c>
      <c r="F8" s="13">
        <v>4500000</v>
      </c>
      <c r="G8" s="6" t="s">
        <v>402</v>
      </c>
    </row>
    <row r="9" spans="1:7" ht="16" x14ac:dyDescent="0.45">
      <c r="A9" s="7" t="s">
        <v>176</v>
      </c>
      <c r="B9" s="6" t="s">
        <v>177</v>
      </c>
      <c r="C9" s="6" t="s">
        <v>420</v>
      </c>
      <c r="D9" s="6" t="s">
        <v>421</v>
      </c>
      <c r="E9" s="6" t="s">
        <v>422</v>
      </c>
      <c r="F9" s="13">
        <v>1200000</v>
      </c>
      <c r="G9" s="6" t="s">
        <v>406</v>
      </c>
    </row>
    <row r="10" spans="1:7" ht="16" x14ac:dyDescent="0.45">
      <c r="A10" s="7" t="s">
        <v>178</v>
      </c>
      <c r="B10" s="6" t="s">
        <v>179</v>
      </c>
      <c r="C10" s="6" t="s">
        <v>399</v>
      </c>
      <c r="D10" s="6" t="s">
        <v>423</v>
      </c>
      <c r="E10" s="6" t="s">
        <v>424</v>
      </c>
      <c r="F10" s="13">
        <v>1800000</v>
      </c>
      <c r="G10" s="6" t="s">
        <v>402</v>
      </c>
    </row>
  </sheetData>
  <conditionalFormatting sqref="F2:F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{68350317-75A7-4E1A-BE02-496CD2EDC9AA}</x14:id>
        </ext>
      </extLst>
    </cfRule>
  </conditionalFormatting>
  <conditionalFormatting sqref="G2:G10">
    <cfRule type="expression" dxfId="26" priority="2">
      <formula>$G2="ON TRACK"</formula>
    </cfRule>
  </conditionalFormatting>
  <conditionalFormatting sqref="G2:G10">
    <cfRule type="expression" dxfId="25" priority="3">
      <formula>$G2="WARNING"</formula>
    </cfRule>
  </conditionalFormatting>
  <conditionalFormatting sqref="G2:G10">
    <cfRule type="expression" dxfId="24" priority="4">
      <formula>$G2="CRITICAL"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350317-75A7-4E1A-BE02-496CD2EDC9AA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F2:F10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66"/>
  <sheetViews>
    <sheetView workbookViewId="0"/>
  </sheetViews>
  <sheetFormatPr defaultRowHeight="14.5" x14ac:dyDescent="0.35"/>
  <cols>
    <col min="1" max="1" width="14" customWidth="1"/>
    <col min="2" max="3" width="12" customWidth="1"/>
    <col min="4" max="4" width="13" customWidth="1"/>
    <col min="5" max="5" width="19" customWidth="1"/>
    <col min="6" max="6" width="12" customWidth="1"/>
  </cols>
  <sheetData>
    <row r="1" spans="1:6" ht="16" x14ac:dyDescent="0.45">
      <c r="A1" s="4" t="s">
        <v>425</v>
      </c>
      <c r="B1" s="4" t="s">
        <v>426</v>
      </c>
      <c r="C1" s="4" t="s">
        <v>427</v>
      </c>
      <c r="D1" s="4" t="s">
        <v>428</v>
      </c>
      <c r="E1" s="4" t="s">
        <v>429</v>
      </c>
      <c r="F1" s="4" t="s">
        <v>430</v>
      </c>
    </row>
    <row r="2" spans="1:6" ht="16" x14ac:dyDescent="0.45">
      <c r="A2" s="7" t="s">
        <v>431</v>
      </c>
      <c r="B2" s="66">
        <v>2026</v>
      </c>
      <c r="C2" s="66">
        <v>1</v>
      </c>
      <c r="D2" s="6" t="s">
        <v>432</v>
      </c>
      <c r="E2" s="7" t="s">
        <v>190</v>
      </c>
      <c r="F2" s="66">
        <v>1</v>
      </c>
    </row>
    <row r="3" spans="1:6" ht="16" x14ac:dyDescent="0.45">
      <c r="A3" s="7" t="s">
        <v>433</v>
      </c>
      <c r="B3" s="66">
        <v>2026</v>
      </c>
      <c r="C3" s="66">
        <v>1</v>
      </c>
      <c r="D3" s="6" t="s">
        <v>432</v>
      </c>
      <c r="E3" s="7" t="s">
        <v>190</v>
      </c>
      <c r="F3" s="66">
        <v>1</v>
      </c>
    </row>
    <row r="4" spans="1:6" ht="16" x14ac:dyDescent="0.45">
      <c r="A4" s="7" t="s">
        <v>434</v>
      </c>
      <c r="B4" s="66">
        <v>2026</v>
      </c>
      <c r="C4" s="66">
        <v>1</v>
      </c>
      <c r="D4" s="6" t="s">
        <v>432</v>
      </c>
      <c r="E4" s="7" t="s">
        <v>190</v>
      </c>
      <c r="F4" s="66">
        <v>1</v>
      </c>
    </row>
    <row r="5" spans="1:6" ht="16" x14ac:dyDescent="0.45">
      <c r="A5" s="7" t="s">
        <v>435</v>
      </c>
      <c r="B5" s="66">
        <v>2026</v>
      </c>
      <c r="C5" s="66">
        <v>1</v>
      </c>
      <c r="D5" s="6" t="s">
        <v>432</v>
      </c>
      <c r="E5" s="7" t="s">
        <v>190</v>
      </c>
      <c r="F5" s="66">
        <v>1</v>
      </c>
    </row>
    <row r="6" spans="1:6" ht="16" x14ac:dyDescent="0.45">
      <c r="A6" s="7" t="s">
        <v>436</v>
      </c>
      <c r="B6" s="66">
        <v>2026</v>
      </c>
      <c r="C6" s="66">
        <v>1</v>
      </c>
      <c r="D6" s="6" t="s">
        <v>432</v>
      </c>
      <c r="E6" s="7" t="s">
        <v>190</v>
      </c>
      <c r="F6" s="66">
        <v>1</v>
      </c>
    </row>
    <row r="7" spans="1:6" ht="16" x14ac:dyDescent="0.45">
      <c r="A7" s="7" t="s">
        <v>437</v>
      </c>
      <c r="B7" s="66">
        <v>2026</v>
      </c>
      <c r="C7" s="66">
        <v>1</v>
      </c>
      <c r="D7" s="6" t="s">
        <v>432</v>
      </c>
      <c r="E7" s="7" t="s">
        <v>190</v>
      </c>
      <c r="F7" s="66">
        <v>1</v>
      </c>
    </row>
    <row r="8" spans="1:6" ht="16" x14ac:dyDescent="0.45">
      <c r="A8" s="7" t="s">
        <v>438</v>
      </c>
      <c r="B8" s="66">
        <v>2026</v>
      </c>
      <c r="C8" s="66">
        <v>1</v>
      </c>
      <c r="D8" s="6" t="s">
        <v>432</v>
      </c>
      <c r="E8" s="7" t="s">
        <v>190</v>
      </c>
      <c r="F8" s="66">
        <v>1</v>
      </c>
    </row>
    <row r="9" spans="1:6" ht="16" x14ac:dyDescent="0.45">
      <c r="A9" s="7" t="s">
        <v>439</v>
      </c>
      <c r="B9" s="66">
        <v>2026</v>
      </c>
      <c r="C9" s="66">
        <v>1</v>
      </c>
      <c r="D9" s="6" t="s">
        <v>432</v>
      </c>
      <c r="E9" s="7" t="s">
        <v>190</v>
      </c>
      <c r="F9" s="66">
        <v>1</v>
      </c>
    </row>
    <row r="10" spans="1:6" ht="16" x14ac:dyDescent="0.45">
      <c r="A10" s="7" t="s">
        <v>440</v>
      </c>
      <c r="B10" s="66">
        <v>2026</v>
      </c>
      <c r="C10" s="66">
        <v>1</v>
      </c>
      <c r="D10" s="6" t="s">
        <v>432</v>
      </c>
      <c r="E10" s="7" t="s">
        <v>190</v>
      </c>
      <c r="F10" s="66">
        <v>1</v>
      </c>
    </row>
    <row r="11" spans="1:6" ht="16" x14ac:dyDescent="0.45">
      <c r="A11" s="7" t="s">
        <v>441</v>
      </c>
      <c r="B11" s="66">
        <v>2026</v>
      </c>
      <c r="C11" s="66">
        <v>1</v>
      </c>
      <c r="D11" s="6" t="s">
        <v>432</v>
      </c>
      <c r="E11" s="7" t="s">
        <v>190</v>
      </c>
      <c r="F11" s="66">
        <v>1</v>
      </c>
    </row>
    <row r="12" spans="1:6" ht="16" x14ac:dyDescent="0.45">
      <c r="A12" s="7" t="s">
        <v>442</v>
      </c>
      <c r="B12" s="66">
        <v>2026</v>
      </c>
      <c r="C12" s="66">
        <v>1</v>
      </c>
      <c r="D12" s="6" t="s">
        <v>432</v>
      </c>
      <c r="E12" s="7" t="s">
        <v>190</v>
      </c>
      <c r="F12" s="66">
        <v>1</v>
      </c>
    </row>
    <row r="13" spans="1:6" ht="16" x14ac:dyDescent="0.45">
      <c r="A13" s="7" t="s">
        <v>288</v>
      </c>
      <c r="B13" s="66">
        <v>2026</v>
      </c>
      <c r="C13" s="66">
        <v>1</v>
      </c>
      <c r="D13" s="6" t="s">
        <v>432</v>
      </c>
      <c r="E13" s="7" t="s">
        <v>190</v>
      </c>
      <c r="F13" s="66">
        <v>1</v>
      </c>
    </row>
    <row r="14" spans="1:6" ht="16" x14ac:dyDescent="0.45">
      <c r="A14" s="7" t="s">
        <v>443</v>
      </c>
      <c r="B14" s="66">
        <v>2026</v>
      </c>
      <c r="C14" s="66">
        <v>1</v>
      </c>
      <c r="D14" s="6" t="s">
        <v>432</v>
      </c>
      <c r="E14" s="7" t="s">
        <v>190</v>
      </c>
      <c r="F14" s="66">
        <v>1</v>
      </c>
    </row>
    <row r="15" spans="1:6" ht="16" x14ac:dyDescent="0.45">
      <c r="A15" s="7" t="s">
        <v>444</v>
      </c>
      <c r="B15" s="66">
        <v>2026</v>
      </c>
      <c r="C15" s="66">
        <v>1</v>
      </c>
      <c r="D15" s="6" t="s">
        <v>432</v>
      </c>
      <c r="E15" s="7" t="s">
        <v>190</v>
      </c>
      <c r="F15" s="66">
        <v>1</v>
      </c>
    </row>
    <row r="16" spans="1:6" ht="16" x14ac:dyDescent="0.45">
      <c r="A16" s="7" t="s">
        <v>299</v>
      </c>
      <c r="B16" s="66">
        <v>2026</v>
      </c>
      <c r="C16" s="66">
        <v>1</v>
      </c>
      <c r="D16" s="6" t="s">
        <v>432</v>
      </c>
      <c r="E16" s="7" t="s">
        <v>190</v>
      </c>
      <c r="F16" s="66">
        <v>1</v>
      </c>
    </row>
    <row r="17" spans="1:6" ht="16" x14ac:dyDescent="0.45">
      <c r="A17" s="7" t="s">
        <v>445</v>
      </c>
      <c r="B17" s="66">
        <v>2026</v>
      </c>
      <c r="C17" s="66">
        <v>1</v>
      </c>
      <c r="D17" s="6" t="s">
        <v>432</v>
      </c>
      <c r="E17" s="7" t="s">
        <v>190</v>
      </c>
      <c r="F17" s="66">
        <v>1</v>
      </c>
    </row>
    <row r="18" spans="1:6" ht="16" x14ac:dyDescent="0.45">
      <c r="A18" s="7" t="s">
        <v>446</v>
      </c>
      <c r="B18" s="66">
        <v>2026</v>
      </c>
      <c r="C18" s="66">
        <v>1</v>
      </c>
      <c r="D18" s="6" t="s">
        <v>432</v>
      </c>
      <c r="E18" s="7" t="s">
        <v>190</v>
      </c>
      <c r="F18" s="66">
        <v>1</v>
      </c>
    </row>
    <row r="19" spans="1:6" ht="16" x14ac:dyDescent="0.45">
      <c r="A19" s="7" t="s">
        <v>308</v>
      </c>
      <c r="B19" s="66">
        <v>2026</v>
      </c>
      <c r="C19" s="66">
        <v>1</v>
      </c>
      <c r="D19" s="6" t="s">
        <v>432</v>
      </c>
      <c r="E19" s="7" t="s">
        <v>190</v>
      </c>
      <c r="F19" s="66">
        <v>1</v>
      </c>
    </row>
    <row r="20" spans="1:6" ht="16" x14ac:dyDescent="0.45">
      <c r="A20" s="7" t="s">
        <v>447</v>
      </c>
      <c r="B20" s="66">
        <v>2026</v>
      </c>
      <c r="C20" s="66">
        <v>1</v>
      </c>
      <c r="D20" s="6" t="s">
        <v>432</v>
      </c>
      <c r="E20" s="7" t="s">
        <v>190</v>
      </c>
      <c r="F20" s="66">
        <v>1</v>
      </c>
    </row>
    <row r="21" spans="1:6" ht="16" x14ac:dyDescent="0.45">
      <c r="A21" s="7" t="s">
        <v>315</v>
      </c>
      <c r="B21" s="66">
        <v>2026</v>
      </c>
      <c r="C21" s="66">
        <v>1</v>
      </c>
      <c r="D21" s="6" t="s">
        <v>432</v>
      </c>
      <c r="E21" s="7" t="s">
        <v>190</v>
      </c>
      <c r="F21" s="66">
        <v>1</v>
      </c>
    </row>
    <row r="22" spans="1:6" ht="16" x14ac:dyDescent="0.45">
      <c r="A22" s="7" t="s">
        <v>448</v>
      </c>
      <c r="B22" s="66">
        <v>2026</v>
      </c>
      <c r="C22" s="66">
        <v>1</v>
      </c>
      <c r="D22" s="6" t="s">
        <v>432</v>
      </c>
      <c r="E22" s="7" t="s">
        <v>190</v>
      </c>
      <c r="F22" s="66">
        <v>1</v>
      </c>
    </row>
    <row r="23" spans="1:6" ht="16" x14ac:dyDescent="0.45">
      <c r="A23" s="7" t="s">
        <v>322</v>
      </c>
      <c r="B23" s="66">
        <v>2026</v>
      </c>
      <c r="C23" s="66">
        <v>1</v>
      </c>
      <c r="D23" s="6" t="s">
        <v>432</v>
      </c>
      <c r="E23" s="7" t="s">
        <v>190</v>
      </c>
      <c r="F23" s="66">
        <v>1</v>
      </c>
    </row>
    <row r="24" spans="1:6" ht="16" x14ac:dyDescent="0.45">
      <c r="A24" s="7" t="s">
        <v>449</v>
      </c>
      <c r="B24" s="66">
        <v>2026</v>
      </c>
      <c r="C24" s="66">
        <v>1</v>
      </c>
      <c r="D24" s="6" t="s">
        <v>432</v>
      </c>
      <c r="E24" s="7" t="s">
        <v>190</v>
      </c>
      <c r="F24" s="66">
        <v>1</v>
      </c>
    </row>
    <row r="25" spans="1:6" ht="16" x14ac:dyDescent="0.45">
      <c r="A25" s="7" t="s">
        <v>450</v>
      </c>
      <c r="B25" s="66">
        <v>2026</v>
      </c>
      <c r="C25" s="66">
        <v>1</v>
      </c>
      <c r="D25" s="6" t="s">
        <v>432</v>
      </c>
      <c r="E25" s="7" t="s">
        <v>190</v>
      </c>
      <c r="F25" s="66">
        <v>1</v>
      </c>
    </row>
    <row r="26" spans="1:6" ht="16" x14ac:dyDescent="0.45">
      <c r="A26" s="7" t="s">
        <v>330</v>
      </c>
      <c r="B26" s="66">
        <v>2026</v>
      </c>
      <c r="C26" s="66">
        <v>1</v>
      </c>
      <c r="D26" s="6" t="s">
        <v>432</v>
      </c>
      <c r="E26" s="7" t="s">
        <v>190</v>
      </c>
      <c r="F26" s="66">
        <v>1</v>
      </c>
    </row>
    <row r="27" spans="1:6" ht="16" x14ac:dyDescent="0.45">
      <c r="A27" s="7" t="s">
        <v>451</v>
      </c>
      <c r="B27" s="66">
        <v>2026</v>
      </c>
      <c r="C27" s="66">
        <v>1</v>
      </c>
      <c r="D27" s="6" t="s">
        <v>432</v>
      </c>
      <c r="E27" s="7" t="s">
        <v>190</v>
      </c>
      <c r="F27" s="66">
        <v>1</v>
      </c>
    </row>
    <row r="28" spans="1:6" ht="16" x14ac:dyDescent="0.45">
      <c r="A28" s="7" t="s">
        <v>452</v>
      </c>
      <c r="B28" s="66">
        <v>2026</v>
      </c>
      <c r="C28" s="66">
        <v>1</v>
      </c>
      <c r="D28" s="6" t="s">
        <v>432</v>
      </c>
      <c r="E28" s="7" t="s">
        <v>190</v>
      </c>
      <c r="F28" s="66">
        <v>1</v>
      </c>
    </row>
    <row r="29" spans="1:6" ht="16" x14ac:dyDescent="0.45">
      <c r="A29" s="7" t="s">
        <v>337</v>
      </c>
      <c r="B29" s="66">
        <v>2026</v>
      </c>
      <c r="C29" s="66">
        <v>1</v>
      </c>
      <c r="D29" s="6" t="s">
        <v>432</v>
      </c>
      <c r="E29" s="7" t="s">
        <v>190</v>
      </c>
      <c r="F29" s="66">
        <v>1</v>
      </c>
    </row>
    <row r="30" spans="1:6" ht="16" x14ac:dyDescent="0.45">
      <c r="A30" s="7" t="s">
        <v>453</v>
      </c>
      <c r="B30" s="66">
        <v>2026</v>
      </c>
      <c r="C30" s="66">
        <v>1</v>
      </c>
      <c r="D30" s="6" t="s">
        <v>432</v>
      </c>
      <c r="E30" s="7" t="s">
        <v>190</v>
      </c>
      <c r="F30" s="66">
        <v>1</v>
      </c>
    </row>
    <row r="31" spans="1:6" ht="16" x14ac:dyDescent="0.45">
      <c r="A31" s="7" t="s">
        <v>454</v>
      </c>
      <c r="B31" s="66">
        <v>2026</v>
      </c>
      <c r="C31" s="66">
        <v>1</v>
      </c>
      <c r="D31" s="6" t="s">
        <v>432</v>
      </c>
      <c r="E31" s="7" t="s">
        <v>190</v>
      </c>
      <c r="F31" s="66">
        <v>1</v>
      </c>
    </row>
    <row r="32" spans="1:6" ht="16" x14ac:dyDescent="0.45">
      <c r="A32" s="7" t="s">
        <v>455</v>
      </c>
      <c r="B32" s="66">
        <v>2026</v>
      </c>
      <c r="C32" s="66">
        <v>1</v>
      </c>
      <c r="D32" s="6" t="s">
        <v>432</v>
      </c>
      <c r="E32" s="7" t="s">
        <v>190</v>
      </c>
      <c r="F32" s="66">
        <v>1</v>
      </c>
    </row>
    <row r="33" spans="1:6" ht="16" x14ac:dyDescent="0.45">
      <c r="A33" s="7" t="s">
        <v>456</v>
      </c>
      <c r="B33" s="66">
        <v>2026</v>
      </c>
      <c r="C33" s="66">
        <v>2</v>
      </c>
      <c r="D33" s="6" t="s">
        <v>457</v>
      </c>
      <c r="E33" s="7" t="s">
        <v>192</v>
      </c>
      <c r="F33" s="66">
        <v>1</v>
      </c>
    </row>
    <row r="34" spans="1:6" ht="16" x14ac:dyDescent="0.45">
      <c r="A34" s="7" t="s">
        <v>344</v>
      </c>
      <c r="B34" s="66">
        <v>2026</v>
      </c>
      <c r="C34" s="66">
        <v>2</v>
      </c>
      <c r="D34" s="6" t="s">
        <v>457</v>
      </c>
      <c r="E34" s="7" t="s">
        <v>192</v>
      </c>
      <c r="F34" s="66">
        <v>1</v>
      </c>
    </row>
    <row r="35" spans="1:6" ht="16" x14ac:dyDescent="0.45">
      <c r="A35" s="7" t="s">
        <v>458</v>
      </c>
      <c r="B35" s="66">
        <v>2026</v>
      </c>
      <c r="C35" s="66">
        <v>2</v>
      </c>
      <c r="D35" s="6" t="s">
        <v>457</v>
      </c>
      <c r="E35" s="7" t="s">
        <v>192</v>
      </c>
      <c r="F35" s="66">
        <v>1</v>
      </c>
    </row>
    <row r="36" spans="1:6" ht="16" x14ac:dyDescent="0.45">
      <c r="A36" s="7" t="s">
        <v>459</v>
      </c>
      <c r="B36" s="66">
        <v>2026</v>
      </c>
      <c r="C36" s="66">
        <v>2</v>
      </c>
      <c r="D36" s="6" t="s">
        <v>457</v>
      </c>
      <c r="E36" s="7" t="s">
        <v>192</v>
      </c>
      <c r="F36" s="66">
        <v>1</v>
      </c>
    </row>
    <row r="37" spans="1:6" ht="16" x14ac:dyDescent="0.45">
      <c r="A37" s="7" t="s">
        <v>351</v>
      </c>
      <c r="B37" s="66">
        <v>2026</v>
      </c>
      <c r="C37" s="66">
        <v>2</v>
      </c>
      <c r="D37" s="6" t="s">
        <v>457</v>
      </c>
      <c r="E37" s="7" t="s">
        <v>192</v>
      </c>
      <c r="F37" s="66">
        <v>1</v>
      </c>
    </row>
    <row r="38" spans="1:6" ht="16" x14ac:dyDescent="0.45">
      <c r="A38" s="7" t="s">
        <v>460</v>
      </c>
      <c r="B38" s="66">
        <v>2026</v>
      </c>
      <c r="C38" s="66">
        <v>2</v>
      </c>
      <c r="D38" s="6" t="s">
        <v>457</v>
      </c>
      <c r="E38" s="7" t="s">
        <v>192</v>
      </c>
      <c r="F38" s="66">
        <v>1</v>
      </c>
    </row>
    <row r="39" spans="1:6" ht="16" x14ac:dyDescent="0.45">
      <c r="A39" s="7" t="s">
        <v>461</v>
      </c>
      <c r="B39" s="66">
        <v>2026</v>
      </c>
      <c r="C39" s="66">
        <v>2</v>
      </c>
      <c r="D39" s="6" t="s">
        <v>457</v>
      </c>
      <c r="E39" s="7" t="s">
        <v>192</v>
      </c>
      <c r="F39" s="66">
        <v>1</v>
      </c>
    </row>
    <row r="40" spans="1:6" ht="16" x14ac:dyDescent="0.45">
      <c r="A40" s="7" t="s">
        <v>357</v>
      </c>
      <c r="B40" s="66">
        <v>2026</v>
      </c>
      <c r="C40" s="66">
        <v>2</v>
      </c>
      <c r="D40" s="6" t="s">
        <v>457</v>
      </c>
      <c r="E40" s="7" t="s">
        <v>192</v>
      </c>
      <c r="F40" s="66">
        <v>1</v>
      </c>
    </row>
    <row r="41" spans="1:6" ht="16" x14ac:dyDescent="0.45">
      <c r="A41" s="7" t="s">
        <v>462</v>
      </c>
      <c r="B41" s="66">
        <v>2026</v>
      </c>
      <c r="C41" s="66">
        <v>2</v>
      </c>
      <c r="D41" s="6" t="s">
        <v>457</v>
      </c>
      <c r="E41" s="7" t="s">
        <v>192</v>
      </c>
      <c r="F41" s="66">
        <v>1</v>
      </c>
    </row>
    <row r="42" spans="1:6" ht="16" x14ac:dyDescent="0.45">
      <c r="A42" s="7" t="s">
        <v>463</v>
      </c>
      <c r="B42" s="66">
        <v>2026</v>
      </c>
      <c r="C42" s="66">
        <v>2</v>
      </c>
      <c r="D42" s="6" t="s">
        <v>457</v>
      </c>
      <c r="E42" s="7" t="s">
        <v>192</v>
      </c>
      <c r="F42" s="66">
        <v>1</v>
      </c>
    </row>
    <row r="43" spans="1:6" ht="16" x14ac:dyDescent="0.45">
      <c r="A43" s="7" t="s">
        <v>363</v>
      </c>
      <c r="B43" s="66">
        <v>2026</v>
      </c>
      <c r="C43" s="66">
        <v>2</v>
      </c>
      <c r="D43" s="6" t="s">
        <v>457</v>
      </c>
      <c r="E43" s="7" t="s">
        <v>192</v>
      </c>
      <c r="F43" s="66">
        <v>1</v>
      </c>
    </row>
    <row r="44" spans="1:6" ht="16" x14ac:dyDescent="0.45">
      <c r="A44" s="7" t="s">
        <v>464</v>
      </c>
      <c r="B44" s="66">
        <v>2026</v>
      </c>
      <c r="C44" s="66">
        <v>2</v>
      </c>
      <c r="D44" s="6" t="s">
        <v>457</v>
      </c>
      <c r="E44" s="7" t="s">
        <v>192</v>
      </c>
      <c r="F44" s="66">
        <v>1</v>
      </c>
    </row>
    <row r="45" spans="1:6" ht="16" x14ac:dyDescent="0.45">
      <c r="A45" s="7" t="s">
        <v>465</v>
      </c>
      <c r="B45" s="66">
        <v>2026</v>
      </c>
      <c r="C45" s="66">
        <v>2</v>
      </c>
      <c r="D45" s="6" t="s">
        <v>457</v>
      </c>
      <c r="E45" s="7" t="s">
        <v>192</v>
      </c>
      <c r="F45" s="66">
        <v>1</v>
      </c>
    </row>
    <row r="46" spans="1:6" ht="16" x14ac:dyDescent="0.45">
      <c r="A46" s="7" t="s">
        <v>369</v>
      </c>
      <c r="B46" s="66">
        <v>2026</v>
      </c>
      <c r="C46" s="66">
        <v>2</v>
      </c>
      <c r="D46" s="6" t="s">
        <v>457</v>
      </c>
      <c r="E46" s="7" t="s">
        <v>192</v>
      </c>
      <c r="F46" s="66">
        <v>1</v>
      </c>
    </row>
    <row r="47" spans="1:6" ht="16" x14ac:dyDescent="0.45">
      <c r="A47" s="7" t="s">
        <v>466</v>
      </c>
      <c r="B47" s="66">
        <v>2026</v>
      </c>
      <c r="C47" s="66">
        <v>2</v>
      </c>
      <c r="D47" s="6" t="s">
        <v>457</v>
      </c>
      <c r="E47" s="7" t="s">
        <v>192</v>
      </c>
      <c r="F47" s="66">
        <v>1</v>
      </c>
    </row>
    <row r="48" spans="1:6" ht="16" x14ac:dyDescent="0.45">
      <c r="A48" s="7" t="s">
        <v>467</v>
      </c>
      <c r="B48" s="66">
        <v>2026</v>
      </c>
      <c r="C48" s="66">
        <v>2</v>
      </c>
      <c r="D48" s="6" t="s">
        <v>457</v>
      </c>
      <c r="E48" s="7" t="s">
        <v>192</v>
      </c>
      <c r="F48" s="66">
        <v>1</v>
      </c>
    </row>
    <row r="49" spans="1:6" ht="16" x14ac:dyDescent="0.45">
      <c r="A49" s="7" t="s">
        <v>468</v>
      </c>
      <c r="B49" s="66">
        <v>2026</v>
      </c>
      <c r="C49" s="66">
        <v>2</v>
      </c>
      <c r="D49" s="6" t="s">
        <v>457</v>
      </c>
      <c r="E49" s="7" t="s">
        <v>192</v>
      </c>
      <c r="F49" s="66">
        <v>1</v>
      </c>
    </row>
    <row r="50" spans="1:6" ht="16" x14ac:dyDescent="0.45">
      <c r="A50" s="7" t="s">
        <v>376</v>
      </c>
      <c r="B50" s="66">
        <v>2026</v>
      </c>
      <c r="C50" s="66">
        <v>2</v>
      </c>
      <c r="D50" s="6" t="s">
        <v>457</v>
      </c>
      <c r="E50" s="7" t="s">
        <v>192</v>
      </c>
      <c r="F50" s="66">
        <v>1</v>
      </c>
    </row>
    <row r="51" spans="1:6" ht="16" x14ac:dyDescent="0.45">
      <c r="A51" s="7" t="s">
        <v>469</v>
      </c>
      <c r="B51" s="66">
        <v>2026</v>
      </c>
      <c r="C51" s="66">
        <v>2</v>
      </c>
      <c r="D51" s="6" t="s">
        <v>457</v>
      </c>
      <c r="E51" s="7" t="s">
        <v>192</v>
      </c>
      <c r="F51" s="66">
        <v>1</v>
      </c>
    </row>
    <row r="52" spans="1:6" ht="16" x14ac:dyDescent="0.45">
      <c r="A52" s="7" t="s">
        <v>470</v>
      </c>
      <c r="B52" s="66">
        <v>2026</v>
      </c>
      <c r="C52" s="66">
        <v>2</v>
      </c>
      <c r="D52" s="6" t="s">
        <v>457</v>
      </c>
      <c r="E52" s="7" t="s">
        <v>192</v>
      </c>
      <c r="F52" s="66">
        <v>1</v>
      </c>
    </row>
    <row r="53" spans="1:6" ht="16" x14ac:dyDescent="0.45">
      <c r="A53" s="7" t="s">
        <v>382</v>
      </c>
      <c r="B53" s="66">
        <v>2026</v>
      </c>
      <c r="C53" s="66">
        <v>2</v>
      </c>
      <c r="D53" s="6" t="s">
        <v>457</v>
      </c>
      <c r="E53" s="7" t="s">
        <v>192</v>
      </c>
      <c r="F53" s="66">
        <v>1</v>
      </c>
    </row>
    <row r="54" spans="1:6" ht="16" x14ac:dyDescent="0.45">
      <c r="A54" s="7" t="s">
        <v>471</v>
      </c>
      <c r="B54" s="66">
        <v>2026</v>
      </c>
      <c r="C54" s="66">
        <v>2</v>
      </c>
      <c r="D54" s="6" t="s">
        <v>457</v>
      </c>
      <c r="E54" s="7" t="s">
        <v>192</v>
      </c>
      <c r="F54" s="66">
        <v>1</v>
      </c>
    </row>
    <row r="55" spans="1:6" ht="16" x14ac:dyDescent="0.45">
      <c r="A55" s="7" t="s">
        <v>472</v>
      </c>
      <c r="B55" s="66">
        <v>2026</v>
      </c>
      <c r="C55" s="66">
        <v>2</v>
      </c>
      <c r="D55" s="6" t="s">
        <v>457</v>
      </c>
      <c r="E55" s="7" t="s">
        <v>192</v>
      </c>
      <c r="F55" s="66">
        <v>1</v>
      </c>
    </row>
    <row r="56" spans="1:6" ht="16" x14ac:dyDescent="0.45">
      <c r="A56" s="7" t="s">
        <v>473</v>
      </c>
      <c r="B56" s="66">
        <v>2026</v>
      </c>
      <c r="C56" s="66">
        <v>2</v>
      </c>
      <c r="D56" s="6" t="s">
        <v>457</v>
      </c>
      <c r="E56" s="7" t="s">
        <v>192</v>
      </c>
      <c r="F56" s="66">
        <v>1</v>
      </c>
    </row>
    <row r="57" spans="1:6" ht="16" x14ac:dyDescent="0.45">
      <c r="A57" s="7" t="s">
        <v>387</v>
      </c>
      <c r="B57" s="66">
        <v>2026</v>
      </c>
      <c r="C57" s="66">
        <v>2</v>
      </c>
      <c r="D57" s="6" t="s">
        <v>457</v>
      </c>
      <c r="E57" s="7" t="s">
        <v>192</v>
      </c>
      <c r="F57" s="66">
        <v>1</v>
      </c>
    </row>
    <row r="58" spans="1:6" ht="16" x14ac:dyDescent="0.45">
      <c r="A58" s="7" t="s">
        <v>474</v>
      </c>
      <c r="B58" s="66">
        <v>2026</v>
      </c>
      <c r="C58" s="66">
        <v>2</v>
      </c>
      <c r="D58" s="6" t="s">
        <v>457</v>
      </c>
      <c r="E58" s="7" t="s">
        <v>192</v>
      </c>
      <c r="F58" s="66">
        <v>1</v>
      </c>
    </row>
    <row r="59" spans="1:6" ht="16" x14ac:dyDescent="0.45">
      <c r="A59" s="7" t="s">
        <v>475</v>
      </c>
      <c r="B59" s="66">
        <v>2026</v>
      </c>
      <c r="C59" s="66">
        <v>2</v>
      </c>
      <c r="D59" s="6" t="s">
        <v>457</v>
      </c>
      <c r="E59" s="7" t="s">
        <v>192</v>
      </c>
      <c r="F59" s="66">
        <v>1</v>
      </c>
    </row>
    <row r="60" spans="1:6" ht="16" x14ac:dyDescent="0.45">
      <c r="A60" s="7" t="s">
        <v>476</v>
      </c>
      <c r="B60" s="66">
        <v>2026</v>
      </c>
      <c r="C60" s="66">
        <v>2</v>
      </c>
      <c r="D60" s="6" t="s">
        <v>457</v>
      </c>
      <c r="E60" s="7" t="s">
        <v>192</v>
      </c>
      <c r="F60" s="66">
        <v>1</v>
      </c>
    </row>
    <row r="61" spans="1:6" ht="16" x14ac:dyDescent="0.45">
      <c r="A61" s="7" t="s">
        <v>477</v>
      </c>
      <c r="B61" s="66">
        <v>2026</v>
      </c>
      <c r="C61" s="66">
        <v>3</v>
      </c>
      <c r="D61" s="6" t="s">
        <v>478</v>
      </c>
      <c r="E61" s="7" t="s">
        <v>194</v>
      </c>
      <c r="F61" s="66">
        <v>1</v>
      </c>
    </row>
    <row r="62" spans="1:6" ht="16" x14ac:dyDescent="0.45">
      <c r="A62" s="7" t="s">
        <v>479</v>
      </c>
      <c r="B62" s="66">
        <v>2026</v>
      </c>
      <c r="C62" s="66">
        <v>3</v>
      </c>
      <c r="D62" s="6" t="s">
        <v>478</v>
      </c>
      <c r="E62" s="7" t="s">
        <v>194</v>
      </c>
      <c r="F62" s="66">
        <v>1</v>
      </c>
    </row>
    <row r="63" spans="1:6" ht="16" x14ac:dyDescent="0.45">
      <c r="A63" s="7" t="s">
        <v>480</v>
      </c>
      <c r="B63" s="66">
        <v>2026</v>
      </c>
      <c r="C63" s="66">
        <v>3</v>
      </c>
      <c r="D63" s="6" t="s">
        <v>478</v>
      </c>
      <c r="E63" s="7" t="s">
        <v>194</v>
      </c>
      <c r="F63" s="66">
        <v>1</v>
      </c>
    </row>
    <row r="64" spans="1:6" ht="16" x14ac:dyDescent="0.45">
      <c r="A64" s="7" t="s">
        <v>481</v>
      </c>
      <c r="B64" s="66">
        <v>2026</v>
      </c>
      <c r="C64" s="66">
        <v>3</v>
      </c>
      <c r="D64" s="6" t="s">
        <v>478</v>
      </c>
      <c r="E64" s="7" t="s">
        <v>194</v>
      </c>
      <c r="F64" s="66">
        <v>1</v>
      </c>
    </row>
    <row r="65" spans="1:6" ht="16" x14ac:dyDescent="0.45">
      <c r="A65" s="7" t="s">
        <v>482</v>
      </c>
      <c r="B65" s="66">
        <v>2026</v>
      </c>
      <c r="C65" s="66">
        <v>3</v>
      </c>
      <c r="D65" s="6" t="s">
        <v>478</v>
      </c>
      <c r="E65" s="7" t="s">
        <v>194</v>
      </c>
      <c r="F65" s="66">
        <v>1</v>
      </c>
    </row>
    <row r="66" spans="1:6" ht="16" x14ac:dyDescent="0.45">
      <c r="A66" s="7" t="s">
        <v>483</v>
      </c>
      <c r="B66" s="66">
        <v>2026</v>
      </c>
      <c r="C66" s="66">
        <v>3</v>
      </c>
      <c r="D66" s="6" t="s">
        <v>478</v>
      </c>
      <c r="E66" s="7" t="s">
        <v>194</v>
      </c>
      <c r="F66" s="66">
        <v>1</v>
      </c>
    </row>
    <row r="67" spans="1:6" ht="16" x14ac:dyDescent="0.45">
      <c r="A67" s="7" t="s">
        <v>484</v>
      </c>
      <c r="B67" s="66">
        <v>2026</v>
      </c>
      <c r="C67" s="66">
        <v>3</v>
      </c>
      <c r="D67" s="6" t="s">
        <v>478</v>
      </c>
      <c r="E67" s="7" t="s">
        <v>194</v>
      </c>
      <c r="F67" s="66">
        <v>1</v>
      </c>
    </row>
    <row r="68" spans="1:6" ht="16" x14ac:dyDescent="0.45">
      <c r="A68" s="7" t="s">
        <v>485</v>
      </c>
      <c r="B68" s="66">
        <v>2026</v>
      </c>
      <c r="C68" s="66">
        <v>3</v>
      </c>
      <c r="D68" s="6" t="s">
        <v>478</v>
      </c>
      <c r="E68" s="7" t="s">
        <v>194</v>
      </c>
      <c r="F68" s="66">
        <v>1</v>
      </c>
    </row>
    <row r="69" spans="1:6" ht="16" x14ac:dyDescent="0.45">
      <c r="A69" s="7" t="s">
        <v>486</v>
      </c>
      <c r="B69" s="66">
        <v>2026</v>
      </c>
      <c r="C69" s="66">
        <v>3</v>
      </c>
      <c r="D69" s="6" t="s">
        <v>478</v>
      </c>
      <c r="E69" s="7" t="s">
        <v>194</v>
      </c>
      <c r="F69" s="66">
        <v>1</v>
      </c>
    </row>
    <row r="70" spans="1:6" ht="16" x14ac:dyDescent="0.45">
      <c r="A70" s="7" t="s">
        <v>487</v>
      </c>
      <c r="B70" s="66">
        <v>2026</v>
      </c>
      <c r="C70" s="66">
        <v>3</v>
      </c>
      <c r="D70" s="6" t="s">
        <v>478</v>
      </c>
      <c r="E70" s="7" t="s">
        <v>194</v>
      </c>
      <c r="F70" s="66">
        <v>1</v>
      </c>
    </row>
    <row r="71" spans="1:6" ht="16" x14ac:dyDescent="0.45">
      <c r="A71" s="7" t="s">
        <v>488</v>
      </c>
      <c r="B71" s="66">
        <v>2026</v>
      </c>
      <c r="C71" s="66">
        <v>3</v>
      </c>
      <c r="D71" s="6" t="s">
        <v>478</v>
      </c>
      <c r="E71" s="7" t="s">
        <v>194</v>
      </c>
      <c r="F71" s="66">
        <v>1</v>
      </c>
    </row>
    <row r="72" spans="1:6" ht="16" x14ac:dyDescent="0.45">
      <c r="A72" s="7" t="s">
        <v>489</v>
      </c>
      <c r="B72" s="66">
        <v>2026</v>
      </c>
      <c r="C72" s="66">
        <v>3</v>
      </c>
      <c r="D72" s="6" t="s">
        <v>478</v>
      </c>
      <c r="E72" s="7" t="s">
        <v>194</v>
      </c>
      <c r="F72" s="66">
        <v>1</v>
      </c>
    </row>
    <row r="73" spans="1:6" ht="16" x14ac:dyDescent="0.45">
      <c r="A73" s="7" t="s">
        <v>490</v>
      </c>
      <c r="B73" s="66">
        <v>2026</v>
      </c>
      <c r="C73" s="66">
        <v>3</v>
      </c>
      <c r="D73" s="6" t="s">
        <v>478</v>
      </c>
      <c r="E73" s="7" t="s">
        <v>194</v>
      </c>
      <c r="F73" s="66">
        <v>1</v>
      </c>
    </row>
    <row r="74" spans="1:6" ht="16" x14ac:dyDescent="0.45">
      <c r="A74" s="7" t="s">
        <v>491</v>
      </c>
      <c r="B74" s="66">
        <v>2026</v>
      </c>
      <c r="C74" s="66">
        <v>3</v>
      </c>
      <c r="D74" s="6" t="s">
        <v>478</v>
      </c>
      <c r="E74" s="7" t="s">
        <v>194</v>
      </c>
      <c r="F74" s="66">
        <v>1</v>
      </c>
    </row>
    <row r="75" spans="1:6" ht="16" x14ac:dyDescent="0.45">
      <c r="A75" s="7" t="s">
        <v>492</v>
      </c>
      <c r="B75" s="66">
        <v>2026</v>
      </c>
      <c r="C75" s="66">
        <v>3</v>
      </c>
      <c r="D75" s="6" t="s">
        <v>478</v>
      </c>
      <c r="E75" s="7" t="s">
        <v>194</v>
      </c>
      <c r="F75" s="66">
        <v>1</v>
      </c>
    </row>
    <row r="76" spans="1:6" ht="16" x14ac:dyDescent="0.45">
      <c r="A76" s="7" t="s">
        <v>493</v>
      </c>
      <c r="B76" s="66">
        <v>2026</v>
      </c>
      <c r="C76" s="66">
        <v>3</v>
      </c>
      <c r="D76" s="6" t="s">
        <v>478</v>
      </c>
      <c r="E76" s="7" t="s">
        <v>194</v>
      </c>
      <c r="F76" s="66">
        <v>1</v>
      </c>
    </row>
    <row r="77" spans="1:6" ht="16" x14ac:dyDescent="0.45">
      <c r="A77" s="7" t="s">
        <v>494</v>
      </c>
      <c r="B77" s="66">
        <v>2026</v>
      </c>
      <c r="C77" s="66">
        <v>3</v>
      </c>
      <c r="D77" s="6" t="s">
        <v>478</v>
      </c>
      <c r="E77" s="7" t="s">
        <v>194</v>
      </c>
      <c r="F77" s="66">
        <v>1</v>
      </c>
    </row>
    <row r="78" spans="1:6" ht="16" x14ac:dyDescent="0.45">
      <c r="A78" s="7" t="s">
        <v>495</v>
      </c>
      <c r="B78" s="66">
        <v>2026</v>
      </c>
      <c r="C78" s="66">
        <v>3</v>
      </c>
      <c r="D78" s="6" t="s">
        <v>478</v>
      </c>
      <c r="E78" s="7" t="s">
        <v>194</v>
      </c>
      <c r="F78" s="66">
        <v>1</v>
      </c>
    </row>
    <row r="79" spans="1:6" ht="16" x14ac:dyDescent="0.45">
      <c r="A79" s="7" t="s">
        <v>496</v>
      </c>
      <c r="B79" s="66">
        <v>2026</v>
      </c>
      <c r="C79" s="66">
        <v>3</v>
      </c>
      <c r="D79" s="6" t="s">
        <v>478</v>
      </c>
      <c r="E79" s="7" t="s">
        <v>194</v>
      </c>
      <c r="F79" s="66">
        <v>1</v>
      </c>
    </row>
    <row r="80" spans="1:6" ht="16" x14ac:dyDescent="0.45">
      <c r="A80" s="7" t="s">
        <v>497</v>
      </c>
      <c r="B80" s="66">
        <v>2026</v>
      </c>
      <c r="C80" s="66">
        <v>3</v>
      </c>
      <c r="D80" s="6" t="s">
        <v>478</v>
      </c>
      <c r="E80" s="7" t="s">
        <v>194</v>
      </c>
      <c r="F80" s="66">
        <v>1</v>
      </c>
    </row>
    <row r="81" spans="1:6" ht="16" x14ac:dyDescent="0.45">
      <c r="A81" s="7" t="s">
        <v>498</v>
      </c>
      <c r="B81" s="66">
        <v>2026</v>
      </c>
      <c r="C81" s="66">
        <v>3</v>
      </c>
      <c r="D81" s="6" t="s">
        <v>478</v>
      </c>
      <c r="E81" s="7" t="s">
        <v>194</v>
      </c>
      <c r="F81" s="66">
        <v>1</v>
      </c>
    </row>
    <row r="82" spans="1:6" ht="16" x14ac:dyDescent="0.45">
      <c r="A82" s="7" t="s">
        <v>499</v>
      </c>
      <c r="B82" s="66">
        <v>2026</v>
      </c>
      <c r="C82" s="66">
        <v>3</v>
      </c>
      <c r="D82" s="6" t="s">
        <v>478</v>
      </c>
      <c r="E82" s="7" t="s">
        <v>194</v>
      </c>
      <c r="F82" s="66">
        <v>1</v>
      </c>
    </row>
    <row r="83" spans="1:6" ht="16" x14ac:dyDescent="0.45">
      <c r="A83" s="7" t="s">
        <v>500</v>
      </c>
      <c r="B83" s="66">
        <v>2026</v>
      </c>
      <c r="C83" s="66">
        <v>3</v>
      </c>
      <c r="D83" s="6" t="s">
        <v>478</v>
      </c>
      <c r="E83" s="7" t="s">
        <v>194</v>
      </c>
      <c r="F83" s="66">
        <v>1</v>
      </c>
    </row>
    <row r="84" spans="1:6" ht="16" x14ac:dyDescent="0.45">
      <c r="A84" s="7" t="s">
        <v>501</v>
      </c>
      <c r="B84" s="66">
        <v>2026</v>
      </c>
      <c r="C84" s="66">
        <v>3</v>
      </c>
      <c r="D84" s="6" t="s">
        <v>478</v>
      </c>
      <c r="E84" s="7" t="s">
        <v>194</v>
      </c>
      <c r="F84" s="66">
        <v>1</v>
      </c>
    </row>
    <row r="85" spans="1:6" ht="16" x14ac:dyDescent="0.45">
      <c r="A85" s="7" t="s">
        <v>502</v>
      </c>
      <c r="B85" s="66">
        <v>2026</v>
      </c>
      <c r="C85" s="66">
        <v>3</v>
      </c>
      <c r="D85" s="6" t="s">
        <v>478</v>
      </c>
      <c r="E85" s="7" t="s">
        <v>194</v>
      </c>
      <c r="F85" s="66">
        <v>1</v>
      </c>
    </row>
    <row r="86" spans="1:6" ht="16" x14ac:dyDescent="0.45">
      <c r="A86" s="7" t="s">
        <v>503</v>
      </c>
      <c r="B86" s="66">
        <v>2026</v>
      </c>
      <c r="C86" s="66">
        <v>3</v>
      </c>
      <c r="D86" s="6" t="s">
        <v>478</v>
      </c>
      <c r="E86" s="7" t="s">
        <v>194</v>
      </c>
      <c r="F86" s="66">
        <v>1</v>
      </c>
    </row>
    <row r="87" spans="1:6" ht="16" x14ac:dyDescent="0.45">
      <c r="A87" s="7" t="s">
        <v>504</v>
      </c>
      <c r="B87" s="66">
        <v>2026</v>
      </c>
      <c r="C87" s="66">
        <v>3</v>
      </c>
      <c r="D87" s="6" t="s">
        <v>478</v>
      </c>
      <c r="E87" s="7" t="s">
        <v>194</v>
      </c>
      <c r="F87" s="66">
        <v>1</v>
      </c>
    </row>
    <row r="88" spans="1:6" ht="16" x14ac:dyDescent="0.45">
      <c r="A88" s="7" t="s">
        <v>505</v>
      </c>
      <c r="B88" s="66">
        <v>2026</v>
      </c>
      <c r="C88" s="66">
        <v>3</v>
      </c>
      <c r="D88" s="6" t="s">
        <v>478</v>
      </c>
      <c r="E88" s="7" t="s">
        <v>194</v>
      </c>
      <c r="F88" s="66">
        <v>1</v>
      </c>
    </row>
    <row r="89" spans="1:6" ht="16" x14ac:dyDescent="0.45">
      <c r="A89" s="7" t="s">
        <v>506</v>
      </c>
      <c r="B89" s="66">
        <v>2026</v>
      </c>
      <c r="C89" s="66">
        <v>3</v>
      </c>
      <c r="D89" s="6" t="s">
        <v>478</v>
      </c>
      <c r="E89" s="7" t="s">
        <v>194</v>
      </c>
      <c r="F89" s="66">
        <v>1</v>
      </c>
    </row>
    <row r="90" spans="1:6" ht="16" x14ac:dyDescent="0.45">
      <c r="A90" s="7" t="s">
        <v>507</v>
      </c>
      <c r="B90" s="66">
        <v>2026</v>
      </c>
      <c r="C90" s="66">
        <v>3</v>
      </c>
      <c r="D90" s="6" t="s">
        <v>478</v>
      </c>
      <c r="E90" s="7" t="s">
        <v>194</v>
      </c>
      <c r="F90" s="66">
        <v>1</v>
      </c>
    </row>
    <row r="91" spans="1:6" ht="16" x14ac:dyDescent="0.45">
      <c r="A91" s="7" t="s">
        <v>508</v>
      </c>
      <c r="B91" s="66">
        <v>2026</v>
      </c>
      <c r="C91" s="66">
        <v>3</v>
      </c>
      <c r="D91" s="6" t="s">
        <v>478</v>
      </c>
      <c r="E91" s="7" t="s">
        <v>194</v>
      </c>
      <c r="F91" s="66">
        <v>1</v>
      </c>
    </row>
    <row r="92" spans="1:6" ht="16" x14ac:dyDescent="0.45">
      <c r="A92" s="7" t="s">
        <v>509</v>
      </c>
      <c r="B92" s="66">
        <v>2026</v>
      </c>
      <c r="C92" s="66">
        <v>4</v>
      </c>
      <c r="D92" s="6" t="s">
        <v>197</v>
      </c>
      <c r="E92" s="7" t="s">
        <v>196</v>
      </c>
      <c r="F92" s="66">
        <v>2</v>
      </c>
    </row>
    <row r="93" spans="1:6" ht="16" x14ac:dyDescent="0.45">
      <c r="A93" s="7" t="s">
        <v>510</v>
      </c>
      <c r="B93" s="66">
        <v>2026</v>
      </c>
      <c r="C93" s="66">
        <v>4</v>
      </c>
      <c r="D93" s="6" t="s">
        <v>197</v>
      </c>
      <c r="E93" s="7" t="s">
        <v>196</v>
      </c>
      <c r="F93" s="66">
        <v>2</v>
      </c>
    </row>
    <row r="94" spans="1:6" ht="16" x14ac:dyDescent="0.45">
      <c r="A94" s="7" t="s">
        <v>511</v>
      </c>
      <c r="B94" s="66">
        <v>2026</v>
      </c>
      <c r="C94" s="66">
        <v>4</v>
      </c>
      <c r="D94" s="6" t="s">
        <v>197</v>
      </c>
      <c r="E94" s="7" t="s">
        <v>196</v>
      </c>
      <c r="F94" s="66">
        <v>2</v>
      </c>
    </row>
    <row r="95" spans="1:6" ht="16" x14ac:dyDescent="0.45">
      <c r="A95" s="7" t="s">
        <v>512</v>
      </c>
      <c r="B95" s="66">
        <v>2026</v>
      </c>
      <c r="C95" s="66">
        <v>4</v>
      </c>
      <c r="D95" s="6" t="s">
        <v>197</v>
      </c>
      <c r="E95" s="7" t="s">
        <v>196</v>
      </c>
      <c r="F95" s="66">
        <v>2</v>
      </c>
    </row>
    <row r="96" spans="1:6" ht="16" x14ac:dyDescent="0.45">
      <c r="A96" s="7" t="s">
        <v>513</v>
      </c>
      <c r="B96" s="66">
        <v>2026</v>
      </c>
      <c r="C96" s="66">
        <v>4</v>
      </c>
      <c r="D96" s="6" t="s">
        <v>197</v>
      </c>
      <c r="E96" s="7" t="s">
        <v>196</v>
      </c>
      <c r="F96" s="66">
        <v>2</v>
      </c>
    </row>
    <row r="97" spans="1:6" ht="16" x14ac:dyDescent="0.45">
      <c r="A97" s="7" t="s">
        <v>514</v>
      </c>
      <c r="B97" s="66">
        <v>2026</v>
      </c>
      <c r="C97" s="66">
        <v>4</v>
      </c>
      <c r="D97" s="6" t="s">
        <v>197</v>
      </c>
      <c r="E97" s="7" t="s">
        <v>196</v>
      </c>
      <c r="F97" s="66">
        <v>2</v>
      </c>
    </row>
    <row r="98" spans="1:6" ht="16" x14ac:dyDescent="0.45">
      <c r="A98" s="7" t="s">
        <v>515</v>
      </c>
      <c r="B98" s="66">
        <v>2026</v>
      </c>
      <c r="C98" s="66">
        <v>4</v>
      </c>
      <c r="D98" s="6" t="s">
        <v>197</v>
      </c>
      <c r="E98" s="7" t="s">
        <v>196</v>
      </c>
      <c r="F98" s="66">
        <v>2</v>
      </c>
    </row>
    <row r="99" spans="1:6" ht="16" x14ac:dyDescent="0.45">
      <c r="A99" s="7" t="s">
        <v>516</v>
      </c>
      <c r="B99" s="66">
        <v>2026</v>
      </c>
      <c r="C99" s="66">
        <v>4</v>
      </c>
      <c r="D99" s="6" t="s">
        <v>197</v>
      </c>
      <c r="E99" s="7" t="s">
        <v>196</v>
      </c>
      <c r="F99" s="66">
        <v>2</v>
      </c>
    </row>
    <row r="100" spans="1:6" ht="16" x14ac:dyDescent="0.45">
      <c r="A100" s="7" t="s">
        <v>517</v>
      </c>
      <c r="B100" s="66">
        <v>2026</v>
      </c>
      <c r="C100" s="66">
        <v>4</v>
      </c>
      <c r="D100" s="6" t="s">
        <v>197</v>
      </c>
      <c r="E100" s="7" t="s">
        <v>196</v>
      </c>
      <c r="F100" s="66">
        <v>2</v>
      </c>
    </row>
    <row r="101" spans="1:6" ht="16" x14ac:dyDescent="0.45">
      <c r="A101" s="7" t="s">
        <v>518</v>
      </c>
      <c r="B101" s="66">
        <v>2026</v>
      </c>
      <c r="C101" s="66">
        <v>4</v>
      </c>
      <c r="D101" s="6" t="s">
        <v>197</v>
      </c>
      <c r="E101" s="7" t="s">
        <v>196</v>
      </c>
      <c r="F101" s="66">
        <v>2</v>
      </c>
    </row>
    <row r="102" spans="1:6" ht="16" x14ac:dyDescent="0.45">
      <c r="A102" s="7" t="s">
        <v>519</v>
      </c>
      <c r="B102" s="66">
        <v>2026</v>
      </c>
      <c r="C102" s="66">
        <v>4</v>
      </c>
      <c r="D102" s="6" t="s">
        <v>197</v>
      </c>
      <c r="E102" s="7" t="s">
        <v>196</v>
      </c>
      <c r="F102" s="66">
        <v>2</v>
      </c>
    </row>
    <row r="103" spans="1:6" ht="16" x14ac:dyDescent="0.45">
      <c r="A103" s="7" t="s">
        <v>520</v>
      </c>
      <c r="B103" s="66">
        <v>2026</v>
      </c>
      <c r="C103" s="66">
        <v>4</v>
      </c>
      <c r="D103" s="6" t="s">
        <v>197</v>
      </c>
      <c r="E103" s="7" t="s">
        <v>196</v>
      </c>
      <c r="F103" s="66">
        <v>2</v>
      </c>
    </row>
    <row r="104" spans="1:6" ht="16" x14ac:dyDescent="0.45">
      <c r="A104" s="7" t="s">
        <v>521</v>
      </c>
      <c r="B104" s="66">
        <v>2026</v>
      </c>
      <c r="C104" s="66">
        <v>4</v>
      </c>
      <c r="D104" s="6" t="s">
        <v>197</v>
      </c>
      <c r="E104" s="7" t="s">
        <v>196</v>
      </c>
      <c r="F104" s="66">
        <v>2</v>
      </c>
    </row>
    <row r="105" spans="1:6" ht="16" x14ac:dyDescent="0.45">
      <c r="A105" s="7" t="s">
        <v>522</v>
      </c>
      <c r="B105" s="66">
        <v>2026</v>
      </c>
      <c r="C105" s="66">
        <v>4</v>
      </c>
      <c r="D105" s="6" t="s">
        <v>197</v>
      </c>
      <c r="E105" s="7" t="s">
        <v>196</v>
      </c>
      <c r="F105" s="66">
        <v>2</v>
      </c>
    </row>
    <row r="106" spans="1:6" ht="16" x14ac:dyDescent="0.45">
      <c r="A106" s="7" t="s">
        <v>523</v>
      </c>
      <c r="B106" s="66">
        <v>2026</v>
      </c>
      <c r="C106" s="66">
        <v>4</v>
      </c>
      <c r="D106" s="6" t="s">
        <v>197</v>
      </c>
      <c r="E106" s="7" t="s">
        <v>196</v>
      </c>
      <c r="F106" s="66">
        <v>2</v>
      </c>
    </row>
    <row r="107" spans="1:6" ht="16" x14ac:dyDescent="0.45">
      <c r="A107" s="7" t="s">
        <v>524</v>
      </c>
      <c r="B107" s="66">
        <v>2026</v>
      </c>
      <c r="C107" s="66">
        <v>4</v>
      </c>
      <c r="D107" s="6" t="s">
        <v>197</v>
      </c>
      <c r="E107" s="7" t="s">
        <v>196</v>
      </c>
      <c r="F107" s="66">
        <v>2</v>
      </c>
    </row>
    <row r="108" spans="1:6" ht="16" x14ac:dyDescent="0.45">
      <c r="A108" s="7" t="s">
        <v>525</v>
      </c>
      <c r="B108" s="66">
        <v>2026</v>
      </c>
      <c r="C108" s="66">
        <v>4</v>
      </c>
      <c r="D108" s="6" t="s">
        <v>197</v>
      </c>
      <c r="E108" s="7" t="s">
        <v>196</v>
      </c>
      <c r="F108" s="66">
        <v>2</v>
      </c>
    </row>
    <row r="109" spans="1:6" ht="16" x14ac:dyDescent="0.45">
      <c r="A109" s="7" t="s">
        <v>526</v>
      </c>
      <c r="B109" s="66">
        <v>2026</v>
      </c>
      <c r="C109" s="66">
        <v>4</v>
      </c>
      <c r="D109" s="6" t="s">
        <v>197</v>
      </c>
      <c r="E109" s="7" t="s">
        <v>196</v>
      </c>
      <c r="F109" s="66">
        <v>2</v>
      </c>
    </row>
    <row r="110" spans="1:6" ht="16" x14ac:dyDescent="0.45">
      <c r="A110" s="7" t="s">
        <v>527</v>
      </c>
      <c r="B110" s="66">
        <v>2026</v>
      </c>
      <c r="C110" s="66">
        <v>4</v>
      </c>
      <c r="D110" s="6" t="s">
        <v>197</v>
      </c>
      <c r="E110" s="7" t="s">
        <v>196</v>
      </c>
      <c r="F110" s="66">
        <v>2</v>
      </c>
    </row>
    <row r="111" spans="1:6" ht="16" x14ac:dyDescent="0.45">
      <c r="A111" s="7" t="s">
        <v>528</v>
      </c>
      <c r="B111" s="66">
        <v>2026</v>
      </c>
      <c r="C111" s="66">
        <v>4</v>
      </c>
      <c r="D111" s="6" t="s">
        <v>197</v>
      </c>
      <c r="E111" s="7" t="s">
        <v>196</v>
      </c>
      <c r="F111" s="66">
        <v>2</v>
      </c>
    </row>
    <row r="112" spans="1:6" ht="16" x14ac:dyDescent="0.45">
      <c r="A112" s="7" t="s">
        <v>529</v>
      </c>
      <c r="B112" s="66">
        <v>2026</v>
      </c>
      <c r="C112" s="66">
        <v>4</v>
      </c>
      <c r="D112" s="6" t="s">
        <v>197</v>
      </c>
      <c r="E112" s="7" t="s">
        <v>196</v>
      </c>
      <c r="F112" s="66">
        <v>2</v>
      </c>
    </row>
    <row r="113" spans="1:6" ht="16" x14ac:dyDescent="0.45">
      <c r="A113" s="7" t="s">
        <v>530</v>
      </c>
      <c r="B113" s="66">
        <v>2026</v>
      </c>
      <c r="C113" s="66">
        <v>4</v>
      </c>
      <c r="D113" s="6" t="s">
        <v>197</v>
      </c>
      <c r="E113" s="7" t="s">
        <v>196</v>
      </c>
      <c r="F113" s="66">
        <v>2</v>
      </c>
    </row>
    <row r="114" spans="1:6" ht="16" x14ac:dyDescent="0.45">
      <c r="A114" s="7" t="s">
        <v>531</v>
      </c>
      <c r="B114" s="66">
        <v>2026</v>
      </c>
      <c r="C114" s="66">
        <v>4</v>
      </c>
      <c r="D114" s="6" t="s">
        <v>197</v>
      </c>
      <c r="E114" s="7" t="s">
        <v>196</v>
      </c>
      <c r="F114" s="66">
        <v>2</v>
      </c>
    </row>
    <row r="115" spans="1:6" ht="16" x14ac:dyDescent="0.45">
      <c r="A115" s="7" t="s">
        <v>532</v>
      </c>
      <c r="B115" s="66">
        <v>2026</v>
      </c>
      <c r="C115" s="66">
        <v>4</v>
      </c>
      <c r="D115" s="6" t="s">
        <v>197</v>
      </c>
      <c r="E115" s="7" t="s">
        <v>196</v>
      </c>
      <c r="F115" s="66">
        <v>2</v>
      </c>
    </row>
    <row r="116" spans="1:6" ht="16" x14ac:dyDescent="0.45">
      <c r="A116" s="7" t="s">
        <v>533</v>
      </c>
      <c r="B116" s="66">
        <v>2026</v>
      </c>
      <c r="C116" s="66">
        <v>4</v>
      </c>
      <c r="D116" s="6" t="s">
        <v>197</v>
      </c>
      <c r="E116" s="7" t="s">
        <v>196</v>
      </c>
      <c r="F116" s="66">
        <v>2</v>
      </c>
    </row>
    <row r="117" spans="1:6" ht="16" x14ac:dyDescent="0.45">
      <c r="A117" s="7" t="s">
        <v>534</v>
      </c>
      <c r="B117" s="66">
        <v>2026</v>
      </c>
      <c r="C117" s="66">
        <v>4</v>
      </c>
      <c r="D117" s="6" t="s">
        <v>197</v>
      </c>
      <c r="E117" s="7" t="s">
        <v>196</v>
      </c>
      <c r="F117" s="66">
        <v>2</v>
      </c>
    </row>
    <row r="118" spans="1:6" ht="16" x14ac:dyDescent="0.45">
      <c r="A118" s="7" t="s">
        <v>535</v>
      </c>
      <c r="B118" s="66">
        <v>2026</v>
      </c>
      <c r="C118" s="66">
        <v>4</v>
      </c>
      <c r="D118" s="6" t="s">
        <v>197</v>
      </c>
      <c r="E118" s="7" t="s">
        <v>196</v>
      </c>
      <c r="F118" s="66">
        <v>2</v>
      </c>
    </row>
    <row r="119" spans="1:6" ht="16" x14ac:dyDescent="0.45">
      <c r="A119" s="7" t="s">
        <v>536</v>
      </c>
      <c r="B119" s="66">
        <v>2026</v>
      </c>
      <c r="C119" s="66">
        <v>4</v>
      </c>
      <c r="D119" s="6" t="s">
        <v>197</v>
      </c>
      <c r="E119" s="7" t="s">
        <v>196</v>
      </c>
      <c r="F119" s="66">
        <v>2</v>
      </c>
    </row>
    <row r="120" spans="1:6" ht="16" x14ac:dyDescent="0.45">
      <c r="A120" s="7" t="s">
        <v>537</v>
      </c>
      <c r="B120" s="66">
        <v>2026</v>
      </c>
      <c r="C120" s="66">
        <v>4</v>
      </c>
      <c r="D120" s="6" t="s">
        <v>197</v>
      </c>
      <c r="E120" s="7" t="s">
        <v>196</v>
      </c>
      <c r="F120" s="66">
        <v>2</v>
      </c>
    </row>
    <row r="121" spans="1:6" ht="16" x14ac:dyDescent="0.45">
      <c r="A121" s="7" t="s">
        <v>538</v>
      </c>
      <c r="B121" s="66">
        <v>2026</v>
      </c>
      <c r="C121" s="66">
        <v>4</v>
      </c>
      <c r="D121" s="6" t="s">
        <v>197</v>
      </c>
      <c r="E121" s="7" t="s">
        <v>196</v>
      </c>
      <c r="F121" s="66">
        <v>2</v>
      </c>
    </row>
    <row r="122" spans="1:6" ht="16" x14ac:dyDescent="0.45">
      <c r="A122" s="7" t="s">
        <v>539</v>
      </c>
      <c r="B122" s="66">
        <v>2026</v>
      </c>
      <c r="C122" s="66">
        <v>5</v>
      </c>
      <c r="D122" s="6" t="s">
        <v>540</v>
      </c>
      <c r="E122" s="7" t="s">
        <v>198</v>
      </c>
      <c r="F122" s="66">
        <v>2</v>
      </c>
    </row>
    <row r="123" spans="1:6" ht="16" x14ac:dyDescent="0.45">
      <c r="A123" s="7" t="s">
        <v>541</v>
      </c>
      <c r="B123" s="66">
        <v>2026</v>
      </c>
      <c r="C123" s="66">
        <v>5</v>
      </c>
      <c r="D123" s="6" t="s">
        <v>540</v>
      </c>
      <c r="E123" s="7" t="s">
        <v>198</v>
      </c>
      <c r="F123" s="66">
        <v>2</v>
      </c>
    </row>
    <row r="124" spans="1:6" ht="16" x14ac:dyDescent="0.45">
      <c r="A124" s="7" t="s">
        <v>542</v>
      </c>
      <c r="B124" s="66">
        <v>2026</v>
      </c>
      <c r="C124" s="66">
        <v>5</v>
      </c>
      <c r="D124" s="6" t="s">
        <v>540</v>
      </c>
      <c r="E124" s="7" t="s">
        <v>198</v>
      </c>
      <c r="F124" s="66">
        <v>2</v>
      </c>
    </row>
    <row r="125" spans="1:6" ht="16" x14ac:dyDescent="0.45">
      <c r="A125" s="7" t="s">
        <v>543</v>
      </c>
      <c r="B125" s="66">
        <v>2026</v>
      </c>
      <c r="C125" s="66">
        <v>5</v>
      </c>
      <c r="D125" s="6" t="s">
        <v>540</v>
      </c>
      <c r="E125" s="7" t="s">
        <v>198</v>
      </c>
      <c r="F125" s="66">
        <v>2</v>
      </c>
    </row>
    <row r="126" spans="1:6" ht="16" x14ac:dyDescent="0.45">
      <c r="A126" s="7" t="s">
        <v>544</v>
      </c>
      <c r="B126" s="66">
        <v>2026</v>
      </c>
      <c r="C126" s="66">
        <v>5</v>
      </c>
      <c r="D126" s="6" t="s">
        <v>540</v>
      </c>
      <c r="E126" s="7" t="s">
        <v>198</v>
      </c>
      <c r="F126" s="66">
        <v>2</v>
      </c>
    </row>
    <row r="127" spans="1:6" ht="16" x14ac:dyDescent="0.45">
      <c r="A127" s="7" t="s">
        <v>545</v>
      </c>
      <c r="B127" s="66">
        <v>2026</v>
      </c>
      <c r="C127" s="66">
        <v>5</v>
      </c>
      <c r="D127" s="6" t="s">
        <v>540</v>
      </c>
      <c r="E127" s="7" t="s">
        <v>198</v>
      </c>
      <c r="F127" s="66">
        <v>2</v>
      </c>
    </row>
    <row r="128" spans="1:6" ht="16" x14ac:dyDescent="0.45">
      <c r="A128" s="7" t="s">
        <v>546</v>
      </c>
      <c r="B128" s="66">
        <v>2026</v>
      </c>
      <c r="C128" s="66">
        <v>5</v>
      </c>
      <c r="D128" s="6" t="s">
        <v>540</v>
      </c>
      <c r="E128" s="7" t="s">
        <v>198</v>
      </c>
      <c r="F128" s="66">
        <v>2</v>
      </c>
    </row>
    <row r="129" spans="1:6" ht="16" x14ac:dyDescent="0.45">
      <c r="A129" s="7" t="s">
        <v>547</v>
      </c>
      <c r="B129" s="66">
        <v>2026</v>
      </c>
      <c r="C129" s="66">
        <v>5</v>
      </c>
      <c r="D129" s="6" t="s">
        <v>540</v>
      </c>
      <c r="E129" s="7" t="s">
        <v>198</v>
      </c>
      <c r="F129" s="66">
        <v>2</v>
      </c>
    </row>
    <row r="130" spans="1:6" ht="16" x14ac:dyDescent="0.45">
      <c r="A130" s="7" t="s">
        <v>548</v>
      </c>
      <c r="B130" s="66">
        <v>2026</v>
      </c>
      <c r="C130" s="66">
        <v>5</v>
      </c>
      <c r="D130" s="6" t="s">
        <v>540</v>
      </c>
      <c r="E130" s="7" t="s">
        <v>198</v>
      </c>
      <c r="F130" s="66">
        <v>2</v>
      </c>
    </row>
    <row r="131" spans="1:6" ht="16" x14ac:dyDescent="0.45">
      <c r="A131" s="7" t="s">
        <v>549</v>
      </c>
      <c r="B131" s="66">
        <v>2026</v>
      </c>
      <c r="C131" s="66">
        <v>5</v>
      </c>
      <c r="D131" s="6" t="s">
        <v>540</v>
      </c>
      <c r="E131" s="7" t="s">
        <v>198</v>
      </c>
      <c r="F131" s="66">
        <v>2</v>
      </c>
    </row>
    <row r="132" spans="1:6" ht="16" x14ac:dyDescent="0.45">
      <c r="A132" s="7" t="s">
        <v>550</v>
      </c>
      <c r="B132" s="66">
        <v>2026</v>
      </c>
      <c r="C132" s="66">
        <v>5</v>
      </c>
      <c r="D132" s="6" t="s">
        <v>540</v>
      </c>
      <c r="E132" s="7" t="s">
        <v>198</v>
      </c>
      <c r="F132" s="66">
        <v>2</v>
      </c>
    </row>
    <row r="133" spans="1:6" ht="16" x14ac:dyDescent="0.45">
      <c r="A133" s="7" t="s">
        <v>551</v>
      </c>
      <c r="B133" s="66">
        <v>2026</v>
      </c>
      <c r="C133" s="66">
        <v>5</v>
      </c>
      <c r="D133" s="6" t="s">
        <v>540</v>
      </c>
      <c r="E133" s="7" t="s">
        <v>198</v>
      </c>
      <c r="F133" s="66">
        <v>2</v>
      </c>
    </row>
    <row r="134" spans="1:6" ht="16" x14ac:dyDescent="0.45">
      <c r="A134" s="7" t="s">
        <v>552</v>
      </c>
      <c r="B134" s="66">
        <v>2026</v>
      </c>
      <c r="C134" s="66">
        <v>5</v>
      </c>
      <c r="D134" s="6" t="s">
        <v>540</v>
      </c>
      <c r="E134" s="7" t="s">
        <v>198</v>
      </c>
      <c r="F134" s="66">
        <v>2</v>
      </c>
    </row>
    <row r="135" spans="1:6" ht="16" x14ac:dyDescent="0.45">
      <c r="A135" s="7" t="s">
        <v>553</v>
      </c>
      <c r="B135" s="66">
        <v>2026</v>
      </c>
      <c r="C135" s="66">
        <v>5</v>
      </c>
      <c r="D135" s="6" t="s">
        <v>540</v>
      </c>
      <c r="E135" s="7" t="s">
        <v>198</v>
      </c>
      <c r="F135" s="66">
        <v>2</v>
      </c>
    </row>
    <row r="136" spans="1:6" ht="16" x14ac:dyDescent="0.45">
      <c r="A136" s="7" t="s">
        <v>554</v>
      </c>
      <c r="B136" s="66">
        <v>2026</v>
      </c>
      <c r="C136" s="66">
        <v>5</v>
      </c>
      <c r="D136" s="6" t="s">
        <v>540</v>
      </c>
      <c r="E136" s="7" t="s">
        <v>198</v>
      </c>
      <c r="F136" s="66">
        <v>2</v>
      </c>
    </row>
    <row r="137" spans="1:6" ht="16" x14ac:dyDescent="0.45">
      <c r="A137" s="7" t="s">
        <v>555</v>
      </c>
      <c r="B137" s="66">
        <v>2026</v>
      </c>
      <c r="C137" s="66">
        <v>5</v>
      </c>
      <c r="D137" s="6" t="s">
        <v>540</v>
      </c>
      <c r="E137" s="7" t="s">
        <v>198</v>
      </c>
      <c r="F137" s="66">
        <v>2</v>
      </c>
    </row>
    <row r="138" spans="1:6" ht="16" x14ac:dyDescent="0.45">
      <c r="A138" s="7" t="s">
        <v>556</v>
      </c>
      <c r="B138" s="66">
        <v>2026</v>
      </c>
      <c r="C138" s="66">
        <v>5</v>
      </c>
      <c r="D138" s="6" t="s">
        <v>540</v>
      </c>
      <c r="E138" s="7" t="s">
        <v>198</v>
      </c>
      <c r="F138" s="66">
        <v>2</v>
      </c>
    </row>
    <row r="139" spans="1:6" ht="16" x14ac:dyDescent="0.45">
      <c r="A139" s="7" t="s">
        <v>557</v>
      </c>
      <c r="B139" s="66">
        <v>2026</v>
      </c>
      <c r="C139" s="66">
        <v>5</v>
      </c>
      <c r="D139" s="6" t="s">
        <v>540</v>
      </c>
      <c r="E139" s="7" t="s">
        <v>198</v>
      </c>
      <c r="F139" s="66">
        <v>2</v>
      </c>
    </row>
    <row r="140" spans="1:6" ht="16" x14ac:dyDescent="0.45">
      <c r="A140" s="7" t="s">
        <v>558</v>
      </c>
      <c r="B140" s="66">
        <v>2026</v>
      </c>
      <c r="C140" s="66">
        <v>5</v>
      </c>
      <c r="D140" s="6" t="s">
        <v>540</v>
      </c>
      <c r="E140" s="7" t="s">
        <v>198</v>
      </c>
      <c r="F140" s="66">
        <v>2</v>
      </c>
    </row>
    <row r="141" spans="1:6" ht="16" x14ac:dyDescent="0.45">
      <c r="A141" s="7" t="s">
        <v>559</v>
      </c>
      <c r="B141" s="66">
        <v>2026</v>
      </c>
      <c r="C141" s="66">
        <v>5</v>
      </c>
      <c r="D141" s="6" t="s">
        <v>540</v>
      </c>
      <c r="E141" s="7" t="s">
        <v>198</v>
      </c>
      <c r="F141" s="66">
        <v>2</v>
      </c>
    </row>
    <row r="142" spans="1:6" ht="16" x14ac:dyDescent="0.45">
      <c r="A142" s="7" t="s">
        <v>560</v>
      </c>
      <c r="B142" s="66">
        <v>2026</v>
      </c>
      <c r="C142" s="66">
        <v>5</v>
      </c>
      <c r="D142" s="6" t="s">
        <v>540</v>
      </c>
      <c r="E142" s="7" t="s">
        <v>198</v>
      </c>
      <c r="F142" s="66">
        <v>2</v>
      </c>
    </row>
    <row r="143" spans="1:6" ht="16" x14ac:dyDescent="0.45">
      <c r="A143" s="7" t="s">
        <v>561</v>
      </c>
      <c r="B143" s="66">
        <v>2026</v>
      </c>
      <c r="C143" s="66">
        <v>5</v>
      </c>
      <c r="D143" s="6" t="s">
        <v>540</v>
      </c>
      <c r="E143" s="7" t="s">
        <v>198</v>
      </c>
      <c r="F143" s="66">
        <v>2</v>
      </c>
    </row>
    <row r="144" spans="1:6" ht="16" x14ac:dyDescent="0.45">
      <c r="A144" s="7" t="s">
        <v>562</v>
      </c>
      <c r="B144" s="66">
        <v>2026</v>
      </c>
      <c r="C144" s="66">
        <v>5</v>
      </c>
      <c r="D144" s="6" t="s">
        <v>540</v>
      </c>
      <c r="E144" s="7" t="s">
        <v>198</v>
      </c>
      <c r="F144" s="66">
        <v>2</v>
      </c>
    </row>
    <row r="145" spans="1:6" ht="16" x14ac:dyDescent="0.45">
      <c r="A145" s="7" t="s">
        <v>563</v>
      </c>
      <c r="B145" s="66">
        <v>2026</v>
      </c>
      <c r="C145" s="66">
        <v>5</v>
      </c>
      <c r="D145" s="6" t="s">
        <v>540</v>
      </c>
      <c r="E145" s="7" t="s">
        <v>198</v>
      </c>
      <c r="F145" s="66">
        <v>2</v>
      </c>
    </row>
    <row r="146" spans="1:6" ht="16" x14ac:dyDescent="0.45">
      <c r="A146" s="7" t="s">
        <v>564</v>
      </c>
      <c r="B146" s="66">
        <v>2026</v>
      </c>
      <c r="C146" s="66">
        <v>5</v>
      </c>
      <c r="D146" s="6" t="s">
        <v>540</v>
      </c>
      <c r="E146" s="7" t="s">
        <v>198</v>
      </c>
      <c r="F146" s="66">
        <v>2</v>
      </c>
    </row>
    <row r="147" spans="1:6" ht="16" x14ac:dyDescent="0.45">
      <c r="A147" s="7" t="s">
        <v>565</v>
      </c>
      <c r="B147" s="66">
        <v>2026</v>
      </c>
      <c r="C147" s="66">
        <v>5</v>
      </c>
      <c r="D147" s="6" t="s">
        <v>540</v>
      </c>
      <c r="E147" s="7" t="s">
        <v>198</v>
      </c>
      <c r="F147" s="66">
        <v>2</v>
      </c>
    </row>
    <row r="148" spans="1:6" ht="16" x14ac:dyDescent="0.45">
      <c r="A148" s="7" t="s">
        <v>566</v>
      </c>
      <c r="B148" s="66">
        <v>2026</v>
      </c>
      <c r="C148" s="66">
        <v>5</v>
      </c>
      <c r="D148" s="6" t="s">
        <v>540</v>
      </c>
      <c r="E148" s="7" t="s">
        <v>198</v>
      </c>
      <c r="F148" s="66">
        <v>2</v>
      </c>
    </row>
    <row r="149" spans="1:6" ht="16" x14ac:dyDescent="0.45">
      <c r="A149" s="7" t="s">
        <v>567</v>
      </c>
      <c r="B149" s="66">
        <v>2026</v>
      </c>
      <c r="C149" s="66">
        <v>5</v>
      </c>
      <c r="D149" s="6" t="s">
        <v>540</v>
      </c>
      <c r="E149" s="7" t="s">
        <v>198</v>
      </c>
      <c r="F149" s="66">
        <v>2</v>
      </c>
    </row>
    <row r="150" spans="1:6" ht="16" x14ac:dyDescent="0.45">
      <c r="A150" s="7" t="s">
        <v>568</v>
      </c>
      <c r="B150" s="66">
        <v>2026</v>
      </c>
      <c r="C150" s="66">
        <v>5</v>
      </c>
      <c r="D150" s="6" t="s">
        <v>540</v>
      </c>
      <c r="E150" s="7" t="s">
        <v>198</v>
      </c>
      <c r="F150" s="66">
        <v>2</v>
      </c>
    </row>
    <row r="151" spans="1:6" ht="16" x14ac:dyDescent="0.45">
      <c r="A151" s="7" t="s">
        <v>569</v>
      </c>
      <c r="B151" s="66">
        <v>2026</v>
      </c>
      <c r="C151" s="66">
        <v>5</v>
      </c>
      <c r="D151" s="6" t="s">
        <v>540</v>
      </c>
      <c r="E151" s="7" t="s">
        <v>198</v>
      </c>
      <c r="F151" s="66">
        <v>2</v>
      </c>
    </row>
    <row r="152" spans="1:6" ht="16" x14ac:dyDescent="0.45">
      <c r="A152" s="7" t="s">
        <v>570</v>
      </c>
      <c r="B152" s="66">
        <v>2026</v>
      </c>
      <c r="C152" s="66">
        <v>5</v>
      </c>
      <c r="D152" s="6" t="s">
        <v>540</v>
      </c>
      <c r="E152" s="7" t="s">
        <v>198</v>
      </c>
      <c r="F152" s="66">
        <v>2</v>
      </c>
    </row>
    <row r="153" spans="1:6" ht="16" x14ac:dyDescent="0.45">
      <c r="A153" s="7" t="s">
        <v>571</v>
      </c>
      <c r="B153" s="66">
        <v>2026</v>
      </c>
      <c r="C153" s="66">
        <v>6</v>
      </c>
      <c r="D153" s="6" t="s">
        <v>572</v>
      </c>
      <c r="E153" s="7" t="s">
        <v>200</v>
      </c>
      <c r="F153" s="66">
        <v>2</v>
      </c>
    </row>
    <row r="154" spans="1:6" ht="16" x14ac:dyDescent="0.45">
      <c r="A154" s="7" t="s">
        <v>573</v>
      </c>
      <c r="B154" s="66">
        <v>2026</v>
      </c>
      <c r="C154" s="66">
        <v>6</v>
      </c>
      <c r="D154" s="6" t="s">
        <v>572</v>
      </c>
      <c r="E154" s="7" t="s">
        <v>200</v>
      </c>
      <c r="F154" s="66">
        <v>2</v>
      </c>
    </row>
    <row r="155" spans="1:6" ht="16" x14ac:dyDescent="0.45">
      <c r="A155" s="7" t="s">
        <v>574</v>
      </c>
      <c r="B155" s="66">
        <v>2026</v>
      </c>
      <c r="C155" s="66">
        <v>6</v>
      </c>
      <c r="D155" s="6" t="s">
        <v>572</v>
      </c>
      <c r="E155" s="7" t="s">
        <v>200</v>
      </c>
      <c r="F155" s="66">
        <v>2</v>
      </c>
    </row>
    <row r="156" spans="1:6" ht="16" x14ac:dyDescent="0.45">
      <c r="A156" s="7" t="s">
        <v>575</v>
      </c>
      <c r="B156" s="66">
        <v>2026</v>
      </c>
      <c r="C156" s="66">
        <v>6</v>
      </c>
      <c r="D156" s="6" t="s">
        <v>572</v>
      </c>
      <c r="E156" s="7" t="s">
        <v>200</v>
      </c>
      <c r="F156" s="66">
        <v>2</v>
      </c>
    </row>
    <row r="157" spans="1:6" ht="16" x14ac:dyDescent="0.45">
      <c r="A157" s="7" t="s">
        <v>576</v>
      </c>
      <c r="B157" s="66">
        <v>2026</v>
      </c>
      <c r="C157" s="66">
        <v>6</v>
      </c>
      <c r="D157" s="6" t="s">
        <v>572</v>
      </c>
      <c r="E157" s="7" t="s">
        <v>200</v>
      </c>
      <c r="F157" s="66">
        <v>2</v>
      </c>
    </row>
    <row r="158" spans="1:6" ht="16" x14ac:dyDescent="0.45">
      <c r="A158" s="7" t="s">
        <v>577</v>
      </c>
      <c r="B158" s="66">
        <v>2026</v>
      </c>
      <c r="C158" s="66">
        <v>6</v>
      </c>
      <c r="D158" s="6" t="s">
        <v>572</v>
      </c>
      <c r="E158" s="7" t="s">
        <v>200</v>
      </c>
      <c r="F158" s="66">
        <v>2</v>
      </c>
    </row>
    <row r="159" spans="1:6" ht="16" x14ac:dyDescent="0.45">
      <c r="A159" s="7" t="s">
        <v>578</v>
      </c>
      <c r="B159" s="66">
        <v>2026</v>
      </c>
      <c r="C159" s="66">
        <v>6</v>
      </c>
      <c r="D159" s="6" t="s">
        <v>572</v>
      </c>
      <c r="E159" s="7" t="s">
        <v>200</v>
      </c>
      <c r="F159" s="66">
        <v>2</v>
      </c>
    </row>
    <row r="160" spans="1:6" ht="16" x14ac:dyDescent="0.45">
      <c r="A160" s="7" t="s">
        <v>579</v>
      </c>
      <c r="B160" s="66">
        <v>2026</v>
      </c>
      <c r="C160" s="66">
        <v>6</v>
      </c>
      <c r="D160" s="6" t="s">
        <v>572</v>
      </c>
      <c r="E160" s="7" t="s">
        <v>200</v>
      </c>
      <c r="F160" s="66">
        <v>2</v>
      </c>
    </row>
    <row r="161" spans="1:6" ht="16" x14ac:dyDescent="0.45">
      <c r="A161" s="7" t="s">
        <v>580</v>
      </c>
      <c r="B161" s="66">
        <v>2026</v>
      </c>
      <c r="C161" s="66">
        <v>6</v>
      </c>
      <c r="D161" s="6" t="s">
        <v>572</v>
      </c>
      <c r="E161" s="7" t="s">
        <v>200</v>
      </c>
      <c r="F161" s="66">
        <v>2</v>
      </c>
    </row>
    <row r="162" spans="1:6" ht="16" x14ac:dyDescent="0.45">
      <c r="A162" s="7" t="s">
        <v>581</v>
      </c>
      <c r="B162" s="66">
        <v>2026</v>
      </c>
      <c r="C162" s="66">
        <v>6</v>
      </c>
      <c r="D162" s="6" t="s">
        <v>572</v>
      </c>
      <c r="E162" s="7" t="s">
        <v>200</v>
      </c>
      <c r="F162" s="66">
        <v>2</v>
      </c>
    </row>
    <row r="163" spans="1:6" ht="16" x14ac:dyDescent="0.45">
      <c r="A163" s="7" t="s">
        <v>582</v>
      </c>
      <c r="B163" s="66">
        <v>2026</v>
      </c>
      <c r="C163" s="66">
        <v>6</v>
      </c>
      <c r="D163" s="6" t="s">
        <v>572</v>
      </c>
      <c r="E163" s="7" t="s">
        <v>200</v>
      </c>
      <c r="F163" s="66">
        <v>2</v>
      </c>
    </row>
    <row r="164" spans="1:6" ht="16" x14ac:dyDescent="0.45">
      <c r="A164" s="7" t="s">
        <v>583</v>
      </c>
      <c r="B164" s="66">
        <v>2026</v>
      </c>
      <c r="C164" s="66">
        <v>6</v>
      </c>
      <c r="D164" s="6" t="s">
        <v>572</v>
      </c>
      <c r="E164" s="7" t="s">
        <v>200</v>
      </c>
      <c r="F164" s="66">
        <v>2</v>
      </c>
    </row>
    <row r="165" spans="1:6" ht="16" x14ac:dyDescent="0.45">
      <c r="A165" s="7" t="s">
        <v>584</v>
      </c>
      <c r="B165" s="66">
        <v>2026</v>
      </c>
      <c r="C165" s="66">
        <v>6</v>
      </c>
      <c r="D165" s="6" t="s">
        <v>572</v>
      </c>
      <c r="E165" s="7" t="s">
        <v>200</v>
      </c>
      <c r="F165" s="66">
        <v>2</v>
      </c>
    </row>
    <row r="166" spans="1:6" ht="16" x14ac:dyDescent="0.45">
      <c r="A166" s="7" t="s">
        <v>585</v>
      </c>
      <c r="B166" s="66">
        <v>2026</v>
      </c>
      <c r="C166" s="66">
        <v>6</v>
      </c>
      <c r="D166" s="6" t="s">
        <v>572</v>
      </c>
      <c r="E166" s="7" t="s">
        <v>200</v>
      </c>
      <c r="F166" s="66">
        <v>2</v>
      </c>
    </row>
    <row r="167" spans="1:6" ht="16" x14ac:dyDescent="0.45">
      <c r="A167" s="7" t="s">
        <v>586</v>
      </c>
      <c r="B167" s="66">
        <v>2026</v>
      </c>
      <c r="C167" s="66">
        <v>6</v>
      </c>
      <c r="D167" s="6" t="s">
        <v>572</v>
      </c>
      <c r="E167" s="7" t="s">
        <v>200</v>
      </c>
      <c r="F167" s="66">
        <v>2</v>
      </c>
    </row>
    <row r="168" spans="1:6" ht="16" x14ac:dyDescent="0.45">
      <c r="A168" s="7" t="s">
        <v>587</v>
      </c>
      <c r="B168" s="66">
        <v>2026</v>
      </c>
      <c r="C168" s="66">
        <v>6</v>
      </c>
      <c r="D168" s="6" t="s">
        <v>572</v>
      </c>
      <c r="E168" s="7" t="s">
        <v>200</v>
      </c>
      <c r="F168" s="66">
        <v>2</v>
      </c>
    </row>
    <row r="169" spans="1:6" ht="16" x14ac:dyDescent="0.45">
      <c r="A169" s="7" t="s">
        <v>588</v>
      </c>
      <c r="B169" s="66">
        <v>2026</v>
      </c>
      <c r="C169" s="66">
        <v>6</v>
      </c>
      <c r="D169" s="6" t="s">
        <v>572</v>
      </c>
      <c r="E169" s="7" t="s">
        <v>200</v>
      </c>
      <c r="F169" s="66">
        <v>2</v>
      </c>
    </row>
    <row r="170" spans="1:6" ht="16" x14ac:dyDescent="0.45">
      <c r="A170" s="7" t="s">
        <v>589</v>
      </c>
      <c r="B170" s="66">
        <v>2026</v>
      </c>
      <c r="C170" s="66">
        <v>6</v>
      </c>
      <c r="D170" s="6" t="s">
        <v>572</v>
      </c>
      <c r="E170" s="7" t="s">
        <v>200</v>
      </c>
      <c r="F170" s="66">
        <v>2</v>
      </c>
    </row>
    <row r="171" spans="1:6" ht="16" x14ac:dyDescent="0.45">
      <c r="A171" s="7" t="s">
        <v>590</v>
      </c>
      <c r="B171" s="66">
        <v>2026</v>
      </c>
      <c r="C171" s="66">
        <v>6</v>
      </c>
      <c r="D171" s="6" t="s">
        <v>572</v>
      </c>
      <c r="E171" s="7" t="s">
        <v>200</v>
      </c>
      <c r="F171" s="66">
        <v>2</v>
      </c>
    </row>
    <row r="172" spans="1:6" ht="16" x14ac:dyDescent="0.45">
      <c r="A172" s="7" t="s">
        <v>591</v>
      </c>
      <c r="B172" s="66">
        <v>2026</v>
      </c>
      <c r="C172" s="66">
        <v>6</v>
      </c>
      <c r="D172" s="6" t="s">
        <v>572</v>
      </c>
      <c r="E172" s="7" t="s">
        <v>200</v>
      </c>
      <c r="F172" s="66">
        <v>2</v>
      </c>
    </row>
    <row r="173" spans="1:6" ht="16" x14ac:dyDescent="0.45">
      <c r="A173" s="7" t="s">
        <v>592</v>
      </c>
      <c r="B173" s="66">
        <v>2026</v>
      </c>
      <c r="C173" s="66">
        <v>6</v>
      </c>
      <c r="D173" s="6" t="s">
        <v>572</v>
      </c>
      <c r="E173" s="7" t="s">
        <v>200</v>
      </c>
      <c r="F173" s="66">
        <v>2</v>
      </c>
    </row>
    <row r="174" spans="1:6" ht="16" x14ac:dyDescent="0.45">
      <c r="A174" s="7" t="s">
        <v>593</v>
      </c>
      <c r="B174" s="66">
        <v>2026</v>
      </c>
      <c r="C174" s="66">
        <v>6</v>
      </c>
      <c r="D174" s="6" t="s">
        <v>572</v>
      </c>
      <c r="E174" s="7" t="s">
        <v>200</v>
      </c>
      <c r="F174" s="66">
        <v>2</v>
      </c>
    </row>
    <row r="175" spans="1:6" ht="16" x14ac:dyDescent="0.45">
      <c r="A175" s="7" t="s">
        <v>594</v>
      </c>
      <c r="B175" s="66">
        <v>2026</v>
      </c>
      <c r="C175" s="66">
        <v>6</v>
      </c>
      <c r="D175" s="6" t="s">
        <v>572</v>
      </c>
      <c r="E175" s="7" t="s">
        <v>200</v>
      </c>
      <c r="F175" s="66">
        <v>2</v>
      </c>
    </row>
    <row r="176" spans="1:6" ht="16" x14ac:dyDescent="0.45">
      <c r="A176" s="7" t="s">
        <v>595</v>
      </c>
      <c r="B176" s="66">
        <v>2026</v>
      </c>
      <c r="C176" s="66">
        <v>6</v>
      </c>
      <c r="D176" s="6" t="s">
        <v>572</v>
      </c>
      <c r="E176" s="7" t="s">
        <v>200</v>
      </c>
      <c r="F176" s="66">
        <v>2</v>
      </c>
    </row>
    <row r="177" spans="1:6" ht="16" x14ac:dyDescent="0.45">
      <c r="A177" s="7" t="s">
        <v>596</v>
      </c>
      <c r="B177" s="66">
        <v>2026</v>
      </c>
      <c r="C177" s="66">
        <v>6</v>
      </c>
      <c r="D177" s="6" t="s">
        <v>572</v>
      </c>
      <c r="E177" s="7" t="s">
        <v>200</v>
      </c>
      <c r="F177" s="66">
        <v>2</v>
      </c>
    </row>
    <row r="178" spans="1:6" ht="16" x14ac:dyDescent="0.45">
      <c r="A178" s="7" t="s">
        <v>597</v>
      </c>
      <c r="B178" s="66">
        <v>2026</v>
      </c>
      <c r="C178" s="66">
        <v>6</v>
      </c>
      <c r="D178" s="6" t="s">
        <v>572</v>
      </c>
      <c r="E178" s="7" t="s">
        <v>200</v>
      </c>
      <c r="F178" s="66">
        <v>2</v>
      </c>
    </row>
    <row r="179" spans="1:6" ht="16" x14ac:dyDescent="0.45">
      <c r="A179" s="7" t="s">
        <v>598</v>
      </c>
      <c r="B179" s="66">
        <v>2026</v>
      </c>
      <c r="C179" s="66">
        <v>6</v>
      </c>
      <c r="D179" s="6" t="s">
        <v>572</v>
      </c>
      <c r="E179" s="7" t="s">
        <v>200</v>
      </c>
      <c r="F179" s="66">
        <v>2</v>
      </c>
    </row>
    <row r="180" spans="1:6" ht="16" x14ac:dyDescent="0.45">
      <c r="A180" s="7" t="s">
        <v>599</v>
      </c>
      <c r="B180" s="66">
        <v>2026</v>
      </c>
      <c r="C180" s="66">
        <v>6</v>
      </c>
      <c r="D180" s="6" t="s">
        <v>572</v>
      </c>
      <c r="E180" s="7" t="s">
        <v>200</v>
      </c>
      <c r="F180" s="66">
        <v>2</v>
      </c>
    </row>
    <row r="181" spans="1:6" ht="16" x14ac:dyDescent="0.45">
      <c r="A181" s="7" t="s">
        <v>600</v>
      </c>
      <c r="B181" s="66">
        <v>2026</v>
      </c>
      <c r="C181" s="66">
        <v>6</v>
      </c>
      <c r="D181" s="6" t="s">
        <v>572</v>
      </c>
      <c r="E181" s="7" t="s">
        <v>200</v>
      </c>
      <c r="F181" s="66">
        <v>2</v>
      </c>
    </row>
    <row r="182" spans="1:6" ht="16" x14ac:dyDescent="0.45">
      <c r="A182" s="7" t="s">
        <v>601</v>
      </c>
      <c r="B182" s="66">
        <v>2026</v>
      </c>
      <c r="C182" s="66">
        <v>6</v>
      </c>
      <c r="D182" s="6" t="s">
        <v>572</v>
      </c>
      <c r="E182" s="7" t="s">
        <v>200</v>
      </c>
      <c r="F182" s="66">
        <v>2</v>
      </c>
    </row>
    <row r="183" spans="1:6" ht="16" x14ac:dyDescent="0.45">
      <c r="A183" s="7" t="s">
        <v>602</v>
      </c>
      <c r="B183" s="66">
        <v>2026</v>
      </c>
      <c r="C183" s="66">
        <v>7</v>
      </c>
      <c r="D183" s="6" t="s">
        <v>603</v>
      </c>
      <c r="E183" s="7" t="s">
        <v>202</v>
      </c>
      <c r="F183" s="66">
        <v>3</v>
      </c>
    </row>
    <row r="184" spans="1:6" ht="16" x14ac:dyDescent="0.45">
      <c r="A184" s="7" t="s">
        <v>604</v>
      </c>
      <c r="B184" s="66">
        <v>2026</v>
      </c>
      <c r="C184" s="66">
        <v>7</v>
      </c>
      <c r="D184" s="6" t="s">
        <v>603</v>
      </c>
      <c r="E184" s="7" t="s">
        <v>202</v>
      </c>
      <c r="F184" s="66">
        <v>3</v>
      </c>
    </row>
    <row r="185" spans="1:6" ht="16" x14ac:dyDescent="0.45">
      <c r="A185" s="7" t="s">
        <v>605</v>
      </c>
      <c r="B185" s="66">
        <v>2026</v>
      </c>
      <c r="C185" s="66">
        <v>7</v>
      </c>
      <c r="D185" s="6" t="s">
        <v>603</v>
      </c>
      <c r="E185" s="7" t="s">
        <v>202</v>
      </c>
      <c r="F185" s="66">
        <v>3</v>
      </c>
    </row>
    <row r="186" spans="1:6" ht="16" x14ac:dyDescent="0.45">
      <c r="A186" s="7" t="s">
        <v>606</v>
      </c>
      <c r="B186" s="66">
        <v>2026</v>
      </c>
      <c r="C186" s="66">
        <v>7</v>
      </c>
      <c r="D186" s="6" t="s">
        <v>603</v>
      </c>
      <c r="E186" s="7" t="s">
        <v>202</v>
      </c>
      <c r="F186" s="66">
        <v>3</v>
      </c>
    </row>
    <row r="187" spans="1:6" ht="16" x14ac:dyDescent="0.45">
      <c r="A187" s="7" t="s">
        <v>607</v>
      </c>
      <c r="B187" s="66">
        <v>2026</v>
      </c>
      <c r="C187" s="66">
        <v>7</v>
      </c>
      <c r="D187" s="6" t="s">
        <v>603</v>
      </c>
      <c r="E187" s="7" t="s">
        <v>202</v>
      </c>
      <c r="F187" s="66">
        <v>3</v>
      </c>
    </row>
    <row r="188" spans="1:6" ht="16" x14ac:dyDescent="0.45">
      <c r="A188" s="7" t="s">
        <v>608</v>
      </c>
      <c r="B188" s="66">
        <v>2026</v>
      </c>
      <c r="C188" s="66">
        <v>7</v>
      </c>
      <c r="D188" s="6" t="s">
        <v>603</v>
      </c>
      <c r="E188" s="7" t="s">
        <v>202</v>
      </c>
      <c r="F188" s="66">
        <v>3</v>
      </c>
    </row>
    <row r="189" spans="1:6" ht="16" x14ac:dyDescent="0.45">
      <c r="A189" s="7" t="s">
        <v>609</v>
      </c>
      <c r="B189" s="66">
        <v>2026</v>
      </c>
      <c r="C189" s="66">
        <v>7</v>
      </c>
      <c r="D189" s="6" t="s">
        <v>603</v>
      </c>
      <c r="E189" s="7" t="s">
        <v>202</v>
      </c>
      <c r="F189" s="66">
        <v>3</v>
      </c>
    </row>
    <row r="190" spans="1:6" ht="16" x14ac:dyDescent="0.45">
      <c r="A190" s="7" t="s">
        <v>610</v>
      </c>
      <c r="B190" s="66">
        <v>2026</v>
      </c>
      <c r="C190" s="66">
        <v>7</v>
      </c>
      <c r="D190" s="6" t="s">
        <v>603</v>
      </c>
      <c r="E190" s="7" t="s">
        <v>202</v>
      </c>
      <c r="F190" s="66">
        <v>3</v>
      </c>
    </row>
    <row r="191" spans="1:6" ht="16" x14ac:dyDescent="0.45">
      <c r="A191" s="7" t="s">
        <v>611</v>
      </c>
      <c r="B191" s="66">
        <v>2026</v>
      </c>
      <c r="C191" s="66">
        <v>7</v>
      </c>
      <c r="D191" s="6" t="s">
        <v>603</v>
      </c>
      <c r="E191" s="7" t="s">
        <v>202</v>
      </c>
      <c r="F191" s="66">
        <v>3</v>
      </c>
    </row>
    <row r="192" spans="1:6" ht="16" x14ac:dyDescent="0.45">
      <c r="A192" s="7" t="s">
        <v>612</v>
      </c>
      <c r="B192" s="66">
        <v>2026</v>
      </c>
      <c r="C192" s="66">
        <v>7</v>
      </c>
      <c r="D192" s="6" t="s">
        <v>603</v>
      </c>
      <c r="E192" s="7" t="s">
        <v>202</v>
      </c>
      <c r="F192" s="66">
        <v>3</v>
      </c>
    </row>
    <row r="193" spans="1:6" ht="16" x14ac:dyDescent="0.45">
      <c r="A193" s="7" t="s">
        <v>613</v>
      </c>
      <c r="B193" s="66">
        <v>2026</v>
      </c>
      <c r="C193" s="66">
        <v>7</v>
      </c>
      <c r="D193" s="6" t="s">
        <v>603</v>
      </c>
      <c r="E193" s="7" t="s">
        <v>202</v>
      </c>
      <c r="F193" s="66">
        <v>3</v>
      </c>
    </row>
    <row r="194" spans="1:6" ht="16" x14ac:dyDescent="0.45">
      <c r="A194" s="7" t="s">
        <v>614</v>
      </c>
      <c r="B194" s="66">
        <v>2026</v>
      </c>
      <c r="C194" s="66">
        <v>7</v>
      </c>
      <c r="D194" s="6" t="s">
        <v>603</v>
      </c>
      <c r="E194" s="7" t="s">
        <v>202</v>
      </c>
      <c r="F194" s="66">
        <v>3</v>
      </c>
    </row>
    <row r="195" spans="1:6" ht="16" x14ac:dyDescent="0.45">
      <c r="A195" s="7" t="s">
        <v>615</v>
      </c>
      <c r="B195" s="66">
        <v>2026</v>
      </c>
      <c r="C195" s="66">
        <v>7</v>
      </c>
      <c r="D195" s="6" t="s">
        <v>603</v>
      </c>
      <c r="E195" s="7" t="s">
        <v>202</v>
      </c>
      <c r="F195" s="66">
        <v>3</v>
      </c>
    </row>
    <row r="196" spans="1:6" ht="16" x14ac:dyDescent="0.45">
      <c r="A196" s="7" t="s">
        <v>616</v>
      </c>
      <c r="B196" s="66">
        <v>2026</v>
      </c>
      <c r="C196" s="66">
        <v>7</v>
      </c>
      <c r="D196" s="6" t="s">
        <v>603</v>
      </c>
      <c r="E196" s="7" t="s">
        <v>202</v>
      </c>
      <c r="F196" s="66">
        <v>3</v>
      </c>
    </row>
    <row r="197" spans="1:6" ht="16" x14ac:dyDescent="0.45">
      <c r="A197" s="7" t="s">
        <v>617</v>
      </c>
      <c r="B197" s="66">
        <v>2026</v>
      </c>
      <c r="C197" s="66">
        <v>7</v>
      </c>
      <c r="D197" s="6" t="s">
        <v>603</v>
      </c>
      <c r="E197" s="7" t="s">
        <v>202</v>
      </c>
      <c r="F197" s="66">
        <v>3</v>
      </c>
    </row>
    <row r="198" spans="1:6" ht="16" x14ac:dyDescent="0.45">
      <c r="A198" s="7" t="s">
        <v>618</v>
      </c>
      <c r="B198" s="66">
        <v>2026</v>
      </c>
      <c r="C198" s="66">
        <v>7</v>
      </c>
      <c r="D198" s="6" t="s">
        <v>603</v>
      </c>
      <c r="E198" s="7" t="s">
        <v>202</v>
      </c>
      <c r="F198" s="66">
        <v>3</v>
      </c>
    </row>
    <row r="199" spans="1:6" ht="16" x14ac:dyDescent="0.45">
      <c r="A199" s="7" t="s">
        <v>619</v>
      </c>
      <c r="B199" s="66">
        <v>2026</v>
      </c>
      <c r="C199" s="66">
        <v>7</v>
      </c>
      <c r="D199" s="6" t="s">
        <v>603</v>
      </c>
      <c r="E199" s="7" t="s">
        <v>202</v>
      </c>
      <c r="F199" s="66">
        <v>3</v>
      </c>
    </row>
    <row r="200" spans="1:6" ht="16" x14ac:dyDescent="0.45">
      <c r="A200" s="7" t="s">
        <v>620</v>
      </c>
      <c r="B200" s="66">
        <v>2026</v>
      </c>
      <c r="C200" s="66">
        <v>7</v>
      </c>
      <c r="D200" s="6" t="s">
        <v>603</v>
      </c>
      <c r="E200" s="7" t="s">
        <v>202</v>
      </c>
      <c r="F200" s="66">
        <v>3</v>
      </c>
    </row>
    <row r="201" spans="1:6" ht="16" x14ac:dyDescent="0.45">
      <c r="A201" s="7" t="s">
        <v>621</v>
      </c>
      <c r="B201" s="66">
        <v>2026</v>
      </c>
      <c r="C201" s="66">
        <v>7</v>
      </c>
      <c r="D201" s="6" t="s">
        <v>603</v>
      </c>
      <c r="E201" s="7" t="s">
        <v>202</v>
      </c>
      <c r="F201" s="66">
        <v>3</v>
      </c>
    </row>
    <row r="202" spans="1:6" ht="16" x14ac:dyDescent="0.45">
      <c r="A202" s="7" t="s">
        <v>622</v>
      </c>
      <c r="B202" s="66">
        <v>2026</v>
      </c>
      <c r="C202" s="66">
        <v>7</v>
      </c>
      <c r="D202" s="6" t="s">
        <v>603</v>
      </c>
      <c r="E202" s="7" t="s">
        <v>202</v>
      </c>
      <c r="F202" s="66">
        <v>3</v>
      </c>
    </row>
    <row r="203" spans="1:6" ht="16" x14ac:dyDescent="0.45">
      <c r="A203" s="7" t="s">
        <v>623</v>
      </c>
      <c r="B203" s="66">
        <v>2026</v>
      </c>
      <c r="C203" s="66">
        <v>7</v>
      </c>
      <c r="D203" s="6" t="s">
        <v>603</v>
      </c>
      <c r="E203" s="7" t="s">
        <v>202</v>
      </c>
      <c r="F203" s="66">
        <v>3</v>
      </c>
    </row>
    <row r="204" spans="1:6" ht="16" x14ac:dyDescent="0.45">
      <c r="A204" s="7" t="s">
        <v>624</v>
      </c>
      <c r="B204" s="66">
        <v>2026</v>
      </c>
      <c r="C204" s="66">
        <v>7</v>
      </c>
      <c r="D204" s="6" t="s">
        <v>603</v>
      </c>
      <c r="E204" s="7" t="s">
        <v>202</v>
      </c>
      <c r="F204" s="66">
        <v>3</v>
      </c>
    </row>
    <row r="205" spans="1:6" ht="16" x14ac:dyDescent="0.45">
      <c r="A205" s="7" t="s">
        <v>625</v>
      </c>
      <c r="B205" s="66">
        <v>2026</v>
      </c>
      <c r="C205" s="66">
        <v>7</v>
      </c>
      <c r="D205" s="6" t="s">
        <v>603</v>
      </c>
      <c r="E205" s="7" t="s">
        <v>202</v>
      </c>
      <c r="F205" s="66">
        <v>3</v>
      </c>
    </row>
    <row r="206" spans="1:6" ht="16" x14ac:dyDescent="0.45">
      <c r="A206" s="7" t="s">
        <v>626</v>
      </c>
      <c r="B206" s="66">
        <v>2026</v>
      </c>
      <c r="C206" s="66">
        <v>7</v>
      </c>
      <c r="D206" s="6" t="s">
        <v>603</v>
      </c>
      <c r="E206" s="7" t="s">
        <v>202</v>
      </c>
      <c r="F206" s="66">
        <v>3</v>
      </c>
    </row>
    <row r="207" spans="1:6" ht="16" x14ac:dyDescent="0.45">
      <c r="A207" s="7" t="s">
        <v>627</v>
      </c>
      <c r="B207" s="66">
        <v>2026</v>
      </c>
      <c r="C207" s="66">
        <v>7</v>
      </c>
      <c r="D207" s="6" t="s">
        <v>603</v>
      </c>
      <c r="E207" s="7" t="s">
        <v>202</v>
      </c>
      <c r="F207" s="66">
        <v>3</v>
      </c>
    </row>
    <row r="208" spans="1:6" ht="16" x14ac:dyDescent="0.45">
      <c r="A208" s="7" t="s">
        <v>628</v>
      </c>
      <c r="B208" s="66">
        <v>2026</v>
      </c>
      <c r="C208" s="66">
        <v>7</v>
      </c>
      <c r="D208" s="6" t="s">
        <v>603</v>
      </c>
      <c r="E208" s="7" t="s">
        <v>202</v>
      </c>
      <c r="F208" s="66">
        <v>3</v>
      </c>
    </row>
    <row r="209" spans="1:6" ht="16" x14ac:dyDescent="0.45">
      <c r="A209" s="7" t="s">
        <v>629</v>
      </c>
      <c r="B209" s="66">
        <v>2026</v>
      </c>
      <c r="C209" s="66">
        <v>7</v>
      </c>
      <c r="D209" s="6" t="s">
        <v>603</v>
      </c>
      <c r="E209" s="7" t="s">
        <v>202</v>
      </c>
      <c r="F209" s="66">
        <v>3</v>
      </c>
    </row>
    <row r="210" spans="1:6" ht="16" x14ac:dyDescent="0.45">
      <c r="A210" s="7" t="s">
        <v>630</v>
      </c>
      <c r="B210" s="66">
        <v>2026</v>
      </c>
      <c r="C210" s="66">
        <v>7</v>
      </c>
      <c r="D210" s="6" t="s">
        <v>603</v>
      </c>
      <c r="E210" s="7" t="s">
        <v>202</v>
      </c>
      <c r="F210" s="66">
        <v>3</v>
      </c>
    </row>
    <row r="211" spans="1:6" ht="16" x14ac:dyDescent="0.45">
      <c r="A211" s="7" t="s">
        <v>631</v>
      </c>
      <c r="B211" s="66">
        <v>2026</v>
      </c>
      <c r="C211" s="66">
        <v>7</v>
      </c>
      <c r="D211" s="6" t="s">
        <v>603</v>
      </c>
      <c r="E211" s="7" t="s">
        <v>202</v>
      </c>
      <c r="F211" s="66">
        <v>3</v>
      </c>
    </row>
    <row r="212" spans="1:6" ht="16" x14ac:dyDescent="0.45">
      <c r="A212" s="7" t="s">
        <v>632</v>
      </c>
      <c r="B212" s="66">
        <v>2026</v>
      </c>
      <c r="C212" s="66">
        <v>7</v>
      </c>
      <c r="D212" s="6" t="s">
        <v>603</v>
      </c>
      <c r="E212" s="7" t="s">
        <v>202</v>
      </c>
      <c r="F212" s="66">
        <v>3</v>
      </c>
    </row>
    <row r="213" spans="1:6" ht="16" x14ac:dyDescent="0.45">
      <c r="A213" s="7" t="s">
        <v>633</v>
      </c>
      <c r="B213" s="66">
        <v>2026</v>
      </c>
      <c r="C213" s="66">
        <v>7</v>
      </c>
      <c r="D213" s="6" t="s">
        <v>603</v>
      </c>
      <c r="E213" s="7" t="s">
        <v>202</v>
      </c>
      <c r="F213" s="66">
        <v>3</v>
      </c>
    </row>
    <row r="214" spans="1:6" ht="16" x14ac:dyDescent="0.45">
      <c r="A214" s="7" t="s">
        <v>634</v>
      </c>
      <c r="B214" s="66">
        <v>2026</v>
      </c>
      <c r="C214" s="66">
        <v>8</v>
      </c>
      <c r="D214" s="6" t="s">
        <v>205</v>
      </c>
      <c r="E214" s="7" t="s">
        <v>204</v>
      </c>
      <c r="F214" s="66">
        <v>3</v>
      </c>
    </row>
    <row r="215" spans="1:6" ht="16" x14ac:dyDescent="0.45">
      <c r="A215" s="7" t="s">
        <v>635</v>
      </c>
      <c r="B215" s="66">
        <v>2026</v>
      </c>
      <c r="C215" s="66">
        <v>8</v>
      </c>
      <c r="D215" s="6" t="s">
        <v>205</v>
      </c>
      <c r="E215" s="7" t="s">
        <v>204</v>
      </c>
      <c r="F215" s="66">
        <v>3</v>
      </c>
    </row>
    <row r="216" spans="1:6" ht="16" x14ac:dyDescent="0.45">
      <c r="A216" s="7" t="s">
        <v>636</v>
      </c>
      <c r="B216" s="66">
        <v>2026</v>
      </c>
      <c r="C216" s="66">
        <v>8</v>
      </c>
      <c r="D216" s="6" t="s">
        <v>205</v>
      </c>
      <c r="E216" s="7" t="s">
        <v>204</v>
      </c>
      <c r="F216" s="66">
        <v>3</v>
      </c>
    </row>
    <row r="217" spans="1:6" ht="16" x14ac:dyDescent="0.45">
      <c r="A217" s="7" t="s">
        <v>637</v>
      </c>
      <c r="B217" s="66">
        <v>2026</v>
      </c>
      <c r="C217" s="66">
        <v>8</v>
      </c>
      <c r="D217" s="6" t="s">
        <v>205</v>
      </c>
      <c r="E217" s="7" t="s">
        <v>204</v>
      </c>
      <c r="F217" s="66">
        <v>3</v>
      </c>
    </row>
    <row r="218" spans="1:6" ht="16" x14ac:dyDescent="0.45">
      <c r="A218" s="7" t="s">
        <v>638</v>
      </c>
      <c r="B218" s="66">
        <v>2026</v>
      </c>
      <c r="C218" s="66">
        <v>8</v>
      </c>
      <c r="D218" s="6" t="s">
        <v>205</v>
      </c>
      <c r="E218" s="7" t="s">
        <v>204</v>
      </c>
      <c r="F218" s="66">
        <v>3</v>
      </c>
    </row>
    <row r="219" spans="1:6" ht="16" x14ac:dyDescent="0.45">
      <c r="A219" s="7" t="s">
        <v>639</v>
      </c>
      <c r="B219" s="66">
        <v>2026</v>
      </c>
      <c r="C219" s="66">
        <v>8</v>
      </c>
      <c r="D219" s="6" t="s">
        <v>205</v>
      </c>
      <c r="E219" s="7" t="s">
        <v>204</v>
      </c>
      <c r="F219" s="66">
        <v>3</v>
      </c>
    </row>
    <row r="220" spans="1:6" ht="16" x14ac:dyDescent="0.45">
      <c r="A220" s="7" t="s">
        <v>640</v>
      </c>
      <c r="B220" s="66">
        <v>2026</v>
      </c>
      <c r="C220" s="66">
        <v>8</v>
      </c>
      <c r="D220" s="6" t="s">
        <v>205</v>
      </c>
      <c r="E220" s="7" t="s">
        <v>204</v>
      </c>
      <c r="F220" s="66">
        <v>3</v>
      </c>
    </row>
    <row r="221" spans="1:6" ht="16" x14ac:dyDescent="0.45">
      <c r="A221" s="7" t="s">
        <v>641</v>
      </c>
      <c r="B221" s="66">
        <v>2026</v>
      </c>
      <c r="C221" s="66">
        <v>8</v>
      </c>
      <c r="D221" s="6" t="s">
        <v>205</v>
      </c>
      <c r="E221" s="7" t="s">
        <v>204</v>
      </c>
      <c r="F221" s="66">
        <v>3</v>
      </c>
    </row>
    <row r="222" spans="1:6" ht="16" x14ac:dyDescent="0.45">
      <c r="A222" s="7" t="s">
        <v>642</v>
      </c>
      <c r="B222" s="66">
        <v>2026</v>
      </c>
      <c r="C222" s="66">
        <v>8</v>
      </c>
      <c r="D222" s="6" t="s">
        <v>205</v>
      </c>
      <c r="E222" s="7" t="s">
        <v>204</v>
      </c>
      <c r="F222" s="66">
        <v>3</v>
      </c>
    </row>
    <row r="223" spans="1:6" ht="16" x14ac:dyDescent="0.45">
      <c r="A223" s="7" t="s">
        <v>643</v>
      </c>
      <c r="B223" s="66">
        <v>2026</v>
      </c>
      <c r="C223" s="66">
        <v>8</v>
      </c>
      <c r="D223" s="6" t="s">
        <v>205</v>
      </c>
      <c r="E223" s="7" t="s">
        <v>204</v>
      </c>
      <c r="F223" s="66">
        <v>3</v>
      </c>
    </row>
    <row r="224" spans="1:6" ht="16" x14ac:dyDescent="0.45">
      <c r="A224" s="7" t="s">
        <v>644</v>
      </c>
      <c r="B224" s="66">
        <v>2026</v>
      </c>
      <c r="C224" s="66">
        <v>8</v>
      </c>
      <c r="D224" s="6" t="s">
        <v>205</v>
      </c>
      <c r="E224" s="7" t="s">
        <v>204</v>
      </c>
      <c r="F224" s="66">
        <v>3</v>
      </c>
    </row>
    <row r="225" spans="1:6" ht="16" x14ac:dyDescent="0.45">
      <c r="A225" s="7" t="s">
        <v>645</v>
      </c>
      <c r="B225" s="66">
        <v>2026</v>
      </c>
      <c r="C225" s="66">
        <v>8</v>
      </c>
      <c r="D225" s="6" t="s">
        <v>205</v>
      </c>
      <c r="E225" s="7" t="s">
        <v>204</v>
      </c>
      <c r="F225" s="66">
        <v>3</v>
      </c>
    </row>
    <row r="226" spans="1:6" ht="16" x14ac:dyDescent="0.45">
      <c r="A226" s="7" t="s">
        <v>646</v>
      </c>
      <c r="B226" s="66">
        <v>2026</v>
      </c>
      <c r="C226" s="66">
        <v>8</v>
      </c>
      <c r="D226" s="6" t="s">
        <v>205</v>
      </c>
      <c r="E226" s="7" t="s">
        <v>204</v>
      </c>
      <c r="F226" s="66">
        <v>3</v>
      </c>
    </row>
    <row r="227" spans="1:6" ht="16" x14ac:dyDescent="0.45">
      <c r="A227" s="7" t="s">
        <v>647</v>
      </c>
      <c r="B227" s="66">
        <v>2026</v>
      </c>
      <c r="C227" s="66">
        <v>8</v>
      </c>
      <c r="D227" s="6" t="s">
        <v>205</v>
      </c>
      <c r="E227" s="7" t="s">
        <v>204</v>
      </c>
      <c r="F227" s="66">
        <v>3</v>
      </c>
    </row>
    <row r="228" spans="1:6" ht="16" x14ac:dyDescent="0.45">
      <c r="A228" s="7" t="s">
        <v>648</v>
      </c>
      <c r="B228" s="66">
        <v>2026</v>
      </c>
      <c r="C228" s="66">
        <v>8</v>
      </c>
      <c r="D228" s="6" t="s">
        <v>205</v>
      </c>
      <c r="E228" s="7" t="s">
        <v>204</v>
      </c>
      <c r="F228" s="66">
        <v>3</v>
      </c>
    </row>
    <row r="229" spans="1:6" ht="16" x14ac:dyDescent="0.45">
      <c r="A229" s="7" t="s">
        <v>649</v>
      </c>
      <c r="B229" s="66">
        <v>2026</v>
      </c>
      <c r="C229" s="66">
        <v>8</v>
      </c>
      <c r="D229" s="6" t="s">
        <v>205</v>
      </c>
      <c r="E229" s="7" t="s">
        <v>204</v>
      </c>
      <c r="F229" s="66">
        <v>3</v>
      </c>
    </row>
    <row r="230" spans="1:6" ht="16" x14ac:dyDescent="0.45">
      <c r="A230" s="7" t="s">
        <v>650</v>
      </c>
      <c r="B230" s="66">
        <v>2026</v>
      </c>
      <c r="C230" s="66">
        <v>8</v>
      </c>
      <c r="D230" s="6" t="s">
        <v>205</v>
      </c>
      <c r="E230" s="7" t="s">
        <v>204</v>
      </c>
      <c r="F230" s="66">
        <v>3</v>
      </c>
    </row>
    <row r="231" spans="1:6" ht="16" x14ac:dyDescent="0.45">
      <c r="A231" s="7" t="s">
        <v>651</v>
      </c>
      <c r="B231" s="66">
        <v>2026</v>
      </c>
      <c r="C231" s="66">
        <v>8</v>
      </c>
      <c r="D231" s="6" t="s">
        <v>205</v>
      </c>
      <c r="E231" s="7" t="s">
        <v>204</v>
      </c>
      <c r="F231" s="66">
        <v>3</v>
      </c>
    </row>
    <row r="232" spans="1:6" ht="16" x14ac:dyDescent="0.45">
      <c r="A232" s="7" t="s">
        <v>652</v>
      </c>
      <c r="B232" s="66">
        <v>2026</v>
      </c>
      <c r="C232" s="66">
        <v>8</v>
      </c>
      <c r="D232" s="6" t="s">
        <v>205</v>
      </c>
      <c r="E232" s="7" t="s">
        <v>204</v>
      </c>
      <c r="F232" s="66">
        <v>3</v>
      </c>
    </row>
    <row r="233" spans="1:6" ht="16" x14ac:dyDescent="0.45">
      <c r="A233" s="7" t="s">
        <v>653</v>
      </c>
      <c r="B233" s="66">
        <v>2026</v>
      </c>
      <c r="C233" s="66">
        <v>8</v>
      </c>
      <c r="D233" s="6" t="s">
        <v>205</v>
      </c>
      <c r="E233" s="7" t="s">
        <v>204</v>
      </c>
      <c r="F233" s="66">
        <v>3</v>
      </c>
    </row>
    <row r="234" spans="1:6" ht="16" x14ac:dyDescent="0.45">
      <c r="A234" s="7" t="s">
        <v>654</v>
      </c>
      <c r="B234" s="66">
        <v>2026</v>
      </c>
      <c r="C234" s="66">
        <v>8</v>
      </c>
      <c r="D234" s="6" t="s">
        <v>205</v>
      </c>
      <c r="E234" s="7" t="s">
        <v>204</v>
      </c>
      <c r="F234" s="66">
        <v>3</v>
      </c>
    </row>
    <row r="235" spans="1:6" ht="16" x14ac:dyDescent="0.45">
      <c r="A235" s="7" t="s">
        <v>655</v>
      </c>
      <c r="B235" s="66">
        <v>2026</v>
      </c>
      <c r="C235" s="66">
        <v>8</v>
      </c>
      <c r="D235" s="6" t="s">
        <v>205</v>
      </c>
      <c r="E235" s="7" t="s">
        <v>204</v>
      </c>
      <c r="F235" s="66">
        <v>3</v>
      </c>
    </row>
    <row r="236" spans="1:6" ht="16" x14ac:dyDescent="0.45">
      <c r="A236" s="7" t="s">
        <v>656</v>
      </c>
      <c r="B236" s="66">
        <v>2026</v>
      </c>
      <c r="C236" s="66">
        <v>8</v>
      </c>
      <c r="D236" s="6" t="s">
        <v>205</v>
      </c>
      <c r="E236" s="7" t="s">
        <v>204</v>
      </c>
      <c r="F236" s="66">
        <v>3</v>
      </c>
    </row>
    <row r="237" spans="1:6" ht="16" x14ac:dyDescent="0.45">
      <c r="A237" s="7" t="s">
        <v>657</v>
      </c>
      <c r="B237" s="66">
        <v>2026</v>
      </c>
      <c r="C237" s="66">
        <v>8</v>
      </c>
      <c r="D237" s="6" t="s">
        <v>205</v>
      </c>
      <c r="E237" s="7" t="s">
        <v>204</v>
      </c>
      <c r="F237" s="66">
        <v>3</v>
      </c>
    </row>
    <row r="238" spans="1:6" ht="16" x14ac:dyDescent="0.45">
      <c r="A238" s="7" t="s">
        <v>658</v>
      </c>
      <c r="B238" s="66">
        <v>2026</v>
      </c>
      <c r="C238" s="66">
        <v>8</v>
      </c>
      <c r="D238" s="6" t="s">
        <v>205</v>
      </c>
      <c r="E238" s="7" t="s">
        <v>204</v>
      </c>
      <c r="F238" s="66">
        <v>3</v>
      </c>
    </row>
    <row r="239" spans="1:6" ht="16" x14ac:dyDescent="0.45">
      <c r="A239" s="7" t="s">
        <v>659</v>
      </c>
      <c r="B239" s="66">
        <v>2026</v>
      </c>
      <c r="C239" s="66">
        <v>8</v>
      </c>
      <c r="D239" s="6" t="s">
        <v>205</v>
      </c>
      <c r="E239" s="7" t="s">
        <v>204</v>
      </c>
      <c r="F239" s="66">
        <v>3</v>
      </c>
    </row>
    <row r="240" spans="1:6" ht="16" x14ac:dyDescent="0.45">
      <c r="A240" s="7" t="s">
        <v>660</v>
      </c>
      <c r="B240" s="66">
        <v>2026</v>
      </c>
      <c r="C240" s="66">
        <v>8</v>
      </c>
      <c r="D240" s="6" t="s">
        <v>205</v>
      </c>
      <c r="E240" s="7" t="s">
        <v>204</v>
      </c>
      <c r="F240" s="66">
        <v>3</v>
      </c>
    </row>
    <row r="241" spans="1:6" ht="16" x14ac:dyDescent="0.45">
      <c r="A241" s="7" t="s">
        <v>661</v>
      </c>
      <c r="B241" s="66">
        <v>2026</v>
      </c>
      <c r="C241" s="66">
        <v>8</v>
      </c>
      <c r="D241" s="6" t="s">
        <v>205</v>
      </c>
      <c r="E241" s="7" t="s">
        <v>204</v>
      </c>
      <c r="F241" s="66">
        <v>3</v>
      </c>
    </row>
    <row r="242" spans="1:6" ht="16" x14ac:dyDescent="0.45">
      <c r="A242" s="7" t="s">
        <v>662</v>
      </c>
      <c r="B242" s="66">
        <v>2026</v>
      </c>
      <c r="C242" s="66">
        <v>8</v>
      </c>
      <c r="D242" s="6" t="s">
        <v>205</v>
      </c>
      <c r="E242" s="7" t="s">
        <v>204</v>
      </c>
      <c r="F242" s="66">
        <v>3</v>
      </c>
    </row>
    <row r="243" spans="1:6" ht="16" x14ac:dyDescent="0.45">
      <c r="A243" s="7" t="s">
        <v>663</v>
      </c>
      <c r="B243" s="66">
        <v>2026</v>
      </c>
      <c r="C243" s="66">
        <v>8</v>
      </c>
      <c r="D243" s="6" t="s">
        <v>205</v>
      </c>
      <c r="E243" s="7" t="s">
        <v>204</v>
      </c>
      <c r="F243" s="66">
        <v>3</v>
      </c>
    </row>
    <row r="244" spans="1:6" ht="16" x14ac:dyDescent="0.45">
      <c r="A244" s="7" t="s">
        <v>664</v>
      </c>
      <c r="B244" s="66">
        <v>2026</v>
      </c>
      <c r="C244" s="66">
        <v>8</v>
      </c>
      <c r="D244" s="6" t="s">
        <v>205</v>
      </c>
      <c r="E244" s="7" t="s">
        <v>204</v>
      </c>
      <c r="F244" s="66">
        <v>3</v>
      </c>
    </row>
    <row r="245" spans="1:6" ht="16" x14ac:dyDescent="0.45">
      <c r="A245" s="7" t="s">
        <v>665</v>
      </c>
      <c r="B245" s="66">
        <v>2026</v>
      </c>
      <c r="C245" s="66">
        <v>9</v>
      </c>
      <c r="D245" s="6" t="s">
        <v>207</v>
      </c>
      <c r="E245" s="7" t="s">
        <v>206</v>
      </c>
      <c r="F245" s="66">
        <v>3</v>
      </c>
    </row>
    <row r="246" spans="1:6" ht="16" x14ac:dyDescent="0.45">
      <c r="A246" s="7" t="s">
        <v>666</v>
      </c>
      <c r="B246" s="66">
        <v>2026</v>
      </c>
      <c r="C246" s="66">
        <v>9</v>
      </c>
      <c r="D246" s="6" t="s">
        <v>207</v>
      </c>
      <c r="E246" s="7" t="s">
        <v>206</v>
      </c>
      <c r="F246" s="66">
        <v>3</v>
      </c>
    </row>
    <row r="247" spans="1:6" ht="16" x14ac:dyDescent="0.45">
      <c r="A247" s="7" t="s">
        <v>667</v>
      </c>
      <c r="B247" s="66">
        <v>2026</v>
      </c>
      <c r="C247" s="66">
        <v>9</v>
      </c>
      <c r="D247" s="6" t="s">
        <v>207</v>
      </c>
      <c r="E247" s="7" t="s">
        <v>206</v>
      </c>
      <c r="F247" s="66">
        <v>3</v>
      </c>
    </row>
    <row r="248" spans="1:6" ht="16" x14ac:dyDescent="0.45">
      <c r="A248" s="7" t="s">
        <v>668</v>
      </c>
      <c r="B248" s="66">
        <v>2026</v>
      </c>
      <c r="C248" s="66">
        <v>9</v>
      </c>
      <c r="D248" s="6" t="s">
        <v>207</v>
      </c>
      <c r="E248" s="7" t="s">
        <v>206</v>
      </c>
      <c r="F248" s="66">
        <v>3</v>
      </c>
    </row>
    <row r="249" spans="1:6" ht="16" x14ac:dyDescent="0.45">
      <c r="A249" s="7" t="s">
        <v>669</v>
      </c>
      <c r="B249" s="66">
        <v>2026</v>
      </c>
      <c r="C249" s="66">
        <v>9</v>
      </c>
      <c r="D249" s="6" t="s">
        <v>207</v>
      </c>
      <c r="E249" s="7" t="s">
        <v>206</v>
      </c>
      <c r="F249" s="66">
        <v>3</v>
      </c>
    </row>
    <row r="250" spans="1:6" ht="16" x14ac:dyDescent="0.45">
      <c r="A250" s="7" t="s">
        <v>670</v>
      </c>
      <c r="B250" s="66">
        <v>2026</v>
      </c>
      <c r="C250" s="66">
        <v>9</v>
      </c>
      <c r="D250" s="6" t="s">
        <v>207</v>
      </c>
      <c r="E250" s="7" t="s">
        <v>206</v>
      </c>
      <c r="F250" s="66">
        <v>3</v>
      </c>
    </row>
    <row r="251" spans="1:6" ht="16" x14ac:dyDescent="0.45">
      <c r="A251" s="7" t="s">
        <v>671</v>
      </c>
      <c r="B251" s="66">
        <v>2026</v>
      </c>
      <c r="C251" s="66">
        <v>9</v>
      </c>
      <c r="D251" s="6" t="s">
        <v>207</v>
      </c>
      <c r="E251" s="7" t="s">
        <v>206</v>
      </c>
      <c r="F251" s="66">
        <v>3</v>
      </c>
    </row>
    <row r="252" spans="1:6" ht="16" x14ac:dyDescent="0.45">
      <c r="A252" s="7" t="s">
        <v>672</v>
      </c>
      <c r="B252" s="66">
        <v>2026</v>
      </c>
      <c r="C252" s="66">
        <v>9</v>
      </c>
      <c r="D252" s="6" t="s">
        <v>207</v>
      </c>
      <c r="E252" s="7" t="s">
        <v>206</v>
      </c>
      <c r="F252" s="66">
        <v>3</v>
      </c>
    </row>
    <row r="253" spans="1:6" ht="16" x14ac:dyDescent="0.45">
      <c r="A253" s="7" t="s">
        <v>673</v>
      </c>
      <c r="B253" s="66">
        <v>2026</v>
      </c>
      <c r="C253" s="66">
        <v>9</v>
      </c>
      <c r="D253" s="6" t="s">
        <v>207</v>
      </c>
      <c r="E253" s="7" t="s">
        <v>206</v>
      </c>
      <c r="F253" s="66">
        <v>3</v>
      </c>
    </row>
    <row r="254" spans="1:6" ht="16" x14ac:dyDescent="0.45">
      <c r="A254" s="7" t="s">
        <v>674</v>
      </c>
      <c r="B254" s="66">
        <v>2026</v>
      </c>
      <c r="C254" s="66">
        <v>9</v>
      </c>
      <c r="D254" s="6" t="s">
        <v>207</v>
      </c>
      <c r="E254" s="7" t="s">
        <v>206</v>
      </c>
      <c r="F254" s="66">
        <v>3</v>
      </c>
    </row>
    <row r="255" spans="1:6" ht="16" x14ac:dyDescent="0.45">
      <c r="A255" s="7" t="s">
        <v>675</v>
      </c>
      <c r="B255" s="66">
        <v>2026</v>
      </c>
      <c r="C255" s="66">
        <v>9</v>
      </c>
      <c r="D255" s="6" t="s">
        <v>207</v>
      </c>
      <c r="E255" s="7" t="s">
        <v>206</v>
      </c>
      <c r="F255" s="66">
        <v>3</v>
      </c>
    </row>
    <row r="256" spans="1:6" ht="16" x14ac:dyDescent="0.45">
      <c r="A256" s="7" t="s">
        <v>676</v>
      </c>
      <c r="B256" s="66">
        <v>2026</v>
      </c>
      <c r="C256" s="66">
        <v>9</v>
      </c>
      <c r="D256" s="6" t="s">
        <v>207</v>
      </c>
      <c r="E256" s="7" t="s">
        <v>206</v>
      </c>
      <c r="F256" s="66">
        <v>3</v>
      </c>
    </row>
    <row r="257" spans="1:6" ht="16" x14ac:dyDescent="0.45">
      <c r="A257" s="7" t="s">
        <v>677</v>
      </c>
      <c r="B257" s="66">
        <v>2026</v>
      </c>
      <c r="C257" s="66">
        <v>9</v>
      </c>
      <c r="D257" s="6" t="s">
        <v>207</v>
      </c>
      <c r="E257" s="7" t="s">
        <v>206</v>
      </c>
      <c r="F257" s="66">
        <v>3</v>
      </c>
    </row>
    <row r="258" spans="1:6" ht="16" x14ac:dyDescent="0.45">
      <c r="A258" s="7" t="s">
        <v>678</v>
      </c>
      <c r="B258" s="66">
        <v>2026</v>
      </c>
      <c r="C258" s="66">
        <v>9</v>
      </c>
      <c r="D258" s="6" t="s">
        <v>207</v>
      </c>
      <c r="E258" s="7" t="s">
        <v>206</v>
      </c>
      <c r="F258" s="66">
        <v>3</v>
      </c>
    </row>
    <row r="259" spans="1:6" ht="16" x14ac:dyDescent="0.45">
      <c r="A259" s="7" t="s">
        <v>679</v>
      </c>
      <c r="B259" s="66">
        <v>2026</v>
      </c>
      <c r="C259" s="66">
        <v>9</v>
      </c>
      <c r="D259" s="6" t="s">
        <v>207</v>
      </c>
      <c r="E259" s="7" t="s">
        <v>206</v>
      </c>
      <c r="F259" s="66">
        <v>3</v>
      </c>
    </row>
    <row r="260" spans="1:6" ht="16" x14ac:dyDescent="0.45">
      <c r="A260" s="7" t="s">
        <v>680</v>
      </c>
      <c r="B260" s="66">
        <v>2026</v>
      </c>
      <c r="C260" s="66">
        <v>9</v>
      </c>
      <c r="D260" s="6" t="s">
        <v>207</v>
      </c>
      <c r="E260" s="7" t="s">
        <v>206</v>
      </c>
      <c r="F260" s="66">
        <v>3</v>
      </c>
    </row>
    <row r="261" spans="1:6" ht="16" x14ac:dyDescent="0.45">
      <c r="A261" s="7" t="s">
        <v>681</v>
      </c>
      <c r="B261" s="66">
        <v>2026</v>
      </c>
      <c r="C261" s="66">
        <v>9</v>
      </c>
      <c r="D261" s="6" t="s">
        <v>207</v>
      </c>
      <c r="E261" s="7" t="s">
        <v>206</v>
      </c>
      <c r="F261" s="66">
        <v>3</v>
      </c>
    </row>
    <row r="262" spans="1:6" ht="16" x14ac:dyDescent="0.45">
      <c r="A262" s="7" t="s">
        <v>682</v>
      </c>
      <c r="B262" s="66">
        <v>2026</v>
      </c>
      <c r="C262" s="66">
        <v>9</v>
      </c>
      <c r="D262" s="6" t="s">
        <v>207</v>
      </c>
      <c r="E262" s="7" t="s">
        <v>206</v>
      </c>
      <c r="F262" s="66">
        <v>3</v>
      </c>
    </row>
    <row r="263" spans="1:6" ht="16" x14ac:dyDescent="0.45">
      <c r="A263" s="7" t="s">
        <v>683</v>
      </c>
      <c r="B263" s="66">
        <v>2026</v>
      </c>
      <c r="C263" s="66">
        <v>9</v>
      </c>
      <c r="D263" s="6" t="s">
        <v>207</v>
      </c>
      <c r="E263" s="7" t="s">
        <v>206</v>
      </c>
      <c r="F263" s="66">
        <v>3</v>
      </c>
    </row>
    <row r="264" spans="1:6" ht="16" x14ac:dyDescent="0.45">
      <c r="A264" s="7" t="s">
        <v>684</v>
      </c>
      <c r="B264" s="66">
        <v>2026</v>
      </c>
      <c r="C264" s="66">
        <v>9</v>
      </c>
      <c r="D264" s="6" t="s">
        <v>207</v>
      </c>
      <c r="E264" s="7" t="s">
        <v>206</v>
      </c>
      <c r="F264" s="66">
        <v>3</v>
      </c>
    </row>
    <row r="265" spans="1:6" ht="16" x14ac:dyDescent="0.45">
      <c r="A265" s="7" t="s">
        <v>685</v>
      </c>
      <c r="B265" s="66">
        <v>2026</v>
      </c>
      <c r="C265" s="66">
        <v>9</v>
      </c>
      <c r="D265" s="6" t="s">
        <v>207</v>
      </c>
      <c r="E265" s="7" t="s">
        <v>206</v>
      </c>
      <c r="F265" s="66">
        <v>3</v>
      </c>
    </row>
    <row r="266" spans="1:6" ht="16" x14ac:dyDescent="0.45">
      <c r="A266" s="7" t="s">
        <v>686</v>
      </c>
      <c r="B266" s="66">
        <v>2026</v>
      </c>
      <c r="C266" s="66">
        <v>9</v>
      </c>
      <c r="D266" s="6" t="s">
        <v>207</v>
      </c>
      <c r="E266" s="7" t="s">
        <v>206</v>
      </c>
      <c r="F266" s="66">
        <v>3</v>
      </c>
    </row>
    <row r="267" spans="1:6" ht="16" x14ac:dyDescent="0.45">
      <c r="A267" s="7" t="s">
        <v>687</v>
      </c>
      <c r="B267" s="66">
        <v>2026</v>
      </c>
      <c r="C267" s="66">
        <v>9</v>
      </c>
      <c r="D267" s="6" t="s">
        <v>207</v>
      </c>
      <c r="E267" s="7" t="s">
        <v>206</v>
      </c>
      <c r="F267" s="66">
        <v>3</v>
      </c>
    </row>
    <row r="268" spans="1:6" ht="16" x14ac:dyDescent="0.45">
      <c r="A268" s="7" t="s">
        <v>688</v>
      </c>
      <c r="B268" s="66">
        <v>2026</v>
      </c>
      <c r="C268" s="66">
        <v>9</v>
      </c>
      <c r="D268" s="6" t="s">
        <v>207</v>
      </c>
      <c r="E268" s="7" t="s">
        <v>206</v>
      </c>
      <c r="F268" s="66">
        <v>3</v>
      </c>
    </row>
    <row r="269" spans="1:6" ht="16" x14ac:dyDescent="0.45">
      <c r="A269" s="7" t="s">
        <v>689</v>
      </c>
      <c r="B269" s="66">
        <v>2026</v>
      </c>
      <c r="C269" s="66">
        <v>9</v>
      </c>
      <c r="D269" s="6" t="s">
        <v>207</v>
      </c>
      <c r="E269" s="7" t="s">
        <v>206</v>
      </c>
      <c r="F269" s="66">
        <v>3</v>
      </c>
    </row>
    <row r="270" spans="1:6" ht="16" x14ac:dyDescent="0.45">
      <c r="A270" s="7" t="s">
        <v>690</v>
      </c>
      <c r="B270" s="66">
        <v>2026</v>
      </c>
      <c r="C270" s="66">
        <v>9</v>
      </c>
      <c r="D270" s="6" t="s">
        <v>207</v>
      </c>
      <c r="E270" s="7" t="s">
        <v>206</v>
      </c>
      <c r="F270" s="66">
        <v>3</v>
      </c>
    </row>
    <row r="271" spans="1:6" ht="16" x14ac:dyDescent="0.45">
      <c r="A271" s="7" t="s">
        <v>691</v>
      </c>
      <c r="B271" s="66">
        <v>2026</v>
      </c>
      <c r="C271" s="66">
        <v>9</v>
      </c>
      <c r="D271" s="6" t="s">
        <v>207</v>
      </c>
      <c r="E271" s="7" t="s">
        <v>206</v>
      </c>
      <c r="F271" s="66">
        <v>3</v>
      </c>
    </row>
    <row r="272" spans="1:6" ht="16" x14ac:dyDescent="0.45">
      <c r="A272" s="7" t="s">
        <v>692</v>
      </c>
      <c r="B272" s="66">
        <v>2026</v>
      </c>
      <c r="C272" s="66">
        <v>9</v>
      </c>
      <c r="D272" s="6" t="s">
        <v>207</v>
      </c>
      <c r="E272" s="7" t="s">
        <v>206</v>
      </c>
      <c r="F272" s="66">
        <v>3</v>
      </c>
    </row>
    <row r="273" spans="1:6" ht="16" x14ac:dyDescent="0.45">
      <c r="A273" s="7" t="s">
        <v>693</v>
      </c>
      <c r="B273" s="66">
        <v>2026</v>
      </c>
      <c r="C273" s="66">
        <v>9</v>
      </c>
      <c r="D273" s="6" t="s">
        <v>207</v>
      </c>
      <c r="E273" s="7" t="s">
        <v>206</v>
      </c>
      <c r="F273" s="66">
        <v>3</v>
      </c>
    </row>
    <row r="274" spans="1:6" ht="16" x14ac:dyDescent="0.45">
      <c r="A274" s="7" t="s">
        <v>694</v>
      </c>
      <c r="B274" s="66">
        <v>2026</v>
      </c>
      <c r="C274" s="66">
        <v>9</v>
      </c>
      <c r="D274" s="6" t="s">
        <v>207</v>
      </c>
      <c r="E274" s="7" t="s">
        <v>206</v>
      </c>
      <c r="F274" s="66">
        <v>3</v>
      </c>
    </row>
    <row r="275" spans="1:6" ht="16" x14ac:dyDescent="0.45">
      <c r="A275" s="7" t="s">
        <v>695</v>
      </c>
      <c r="B275" s="66">
        <v>2026</v>
      </c>
      <c r="C275" s="66">
        <v>10</v>
      </c>
      <c r="D275" s="6" t="s">
        <v>696</v>
      </c>
      <c r="E275" s="7" t="s">
        <v>208</v>
      </c>
      <c r="F275" s="66">
        <v>4</v>
      </c>
    </row>
    <row r="276" spans="1:6" ht="16" x14ac:dyDescent="0.45">
      <c r="A276" s="7" t="s">
        <v>697</v>
      </c>
      <c r="B276" s="66">
        <v>2026</v>
      </c>
      <c r="C276" s="66">
        <v>10</v>
      </c>
      <c r="D276" s="6" t="s">
        <v>696</v>
      </c>
      <c r="E276" s="7" t="s">
        <v>208</v>
      </c>
      <c r="F276" s="66">
        <v>4</v>
      </c>
    </row>
    <row r="277" spans="1:6" ht="16" x14ac:dyDescent="0.45">
      <c r="A277" s="7" t="s">
        <v>698</v>
      </c>
      <c r="B277" s="66">
        <v>2026</v>
      </c>
      <c r="C277" s="66">
        <v>10</v>
      </c>
      <c r="D277" s="6" t="s">
        <v>696</v>
      </c>
      <c r="E277" s="7" t="s">
        <v>208</v>
      </c>
      <c r="F277" s="66">
        <v>4</v>
      </c>
    </row>
    <row r="278" spans="1:6" ht="16" x14ac:dyDescent="0.45">
      <c r="A278" s="7" t="s">
        <v>699</v>
      </c>
      <c r="B278" s="66">
        <v>2026</v>
      </c>
      <c r="C278" s="66">
        <v>10</v>
      </c>
      <c r="D278" s="6" t="s">
        <v>696</v>
      </c>
      <c r="E278" s="7" t="s">
        <v>208</v>
      </c>
      <c r="F278" s="66">
        <v>4</v>
      </c>
    </row>
    <row r="279" spans="1:6" ht="16" x14ac:dyDescent="0.45">
      <c r="A279" s="7" t="s">
        <v>700</v>
      </c>
      <c r="B279" s="66">
        <v>2026</v>
      </c>
      <c r="C279" s="66">
        <v>10</v>
      </c>
      <c r="D279" s="6" t="s">
        <v>696</v>
      </c>
      <c r="E279" s="7" t="s">
        <v>208</v>
      </c>
      <c r="F279" s="66">
        <v>4</v>
      </c>
    </row>
    <row r="280" spans="1:6" ht="16" x14ac:dyDescent="0.45">
      <c r="A280" s="7" t="s">
        <v>701</v>
      </c>
      <c r="B280" s="66">
        <v>2026</v>
      </c>
      <c r="C280" s="66">
        <v>10</v>
      </c>
      <c r="D280" s="6" t="s">
        <v>696</v>
      </c>
      <c r="E280" s="7" t="s">
        <v>208</v>
      </c>
      <c r="F280" s="66">
        <v>4</v>
      </c>
    </row>
    <row r="281" spans="1:6" ht="16" x14ac:dyDescent="0.45">
      <c r="A281" s="7" t="s">
        <v>702</v>
      </c>
      <c r="B281" s="66">
        <v>2026</v>
      </c>
      <c r="C281" s="66">
        <v>10</v>
      </c>
      <c r="D281" s="6" t="s">
        <v>696</v>
      </c>
      <c r="E281" s="7" t="s">
        <v>208</v>
      </c>
      <c r="F281" s="66">
        <v>4</v>
      </c>
    </row>
    <row r="282" spans="1:6" ht="16" x14ac:dyDescent="0.45">
      <c r="A282" s="7" t="s">
        <v>703</v>
      </c>
      <c r="B282" s="66">
        <v>2026</v>
      </c>
      <c r="C282" s="66">
        <v>10</v>
      </c>
      <c r="D282" s="6" t="s">
        <v>696</v>
      </c>
      <c r="E282" s="7" t="s">
        <v>208</v>
      </c>
      <c r="F282" s="66">
        <v>4</v>
      </c>
    </row>
    <row r="283" spans="1:6" ht="16" x14ac:dyDescent="0.45">
      <c r="A283" s="7" t="s">
        <v>704</v>
      </c>
      <c r="B283" s="66">
        <v>2026</v>
      </c>
      <c r="C283" s="66">
        <v>10</v>
      </c>
      <c r="D283" s="6" t="s">
        <v>696</v>
      </c>
      <c r="E283" s="7" t="s">
        <v>208</v>
      </c>
      <c r="F283" s="66">
        <v>4</v>
      </c>
    </row>
    <row r="284" spans="1:6" ht="16" x14ac:dyDescent="0.45">
      <c r="A284" s="7" t="s">
        <v>705</v>
      </c>
      <c r="B284" s="66">
        <v>2026</v>
      </c>
      <c r="C284" s="66">
        <v>10</v>
      </c>
      <c r="D284" s="6" t="s">
        <v>696</v>
      </c>
      <c r="E284" s="7" t="s">
        <v>208</v>
      </c>
      <c r="F284" s="66">
        <v>4</v>
      </c>
    </row>
    <row r="285" spans="1:6" ht="16" x14ac:dyDescent="0.45">
      <c r="A285" s="7" t="s">
        <v>706</v>
      </c>
      <c r="B285" s="66">
        <v>2026</v>
      </c>
      <c r="C285" s="66">
        <v>10</v>
      </c>
      <c r="D285" s="6" t="s">
        <v>696</v>
      </c>
      <c r="E285" s="7" t="s">
        <v>208</v>
      </c>
      <c r="F285" s="66">
        <v>4</v>
      </c>
    </row>
    <row r="286" spans="1:6" ht="16" x14ac:dyDescent="0.45">
      <c r="A286" s="7" t="s">
        <v>707</v>
      </c>
      <c r="B286" s="66">
        <v>2026</v>
      </c>
      <c r="C286" s="66">
        <v>10</v>
      </c>
      <c r="D286" s="6" t="s">
        <v>696</v>
      </c>
      <c r="E286" s="7" t="s">
        <v>208</v>
      </c>
      <c r="F286" s="66">
        <v>4</v>
      </c>
    </row>
    <row r="287" spans="1:6" ht="16" x14ac:dyDescent="0.45">
      <c r="A287" s="7" t="s">
        <v>708</v>
      </c>
      <c r="B287" s="66">
        <v>2026</v>
      </c>
      <c r="C287" s="66">
        <v>10</v>
      </c>
      <c r="D287" s="6" t="s">
        <v>696</v>
      </c>
      <c r="E287" s="7" t="s">
        <v>208</v>
      </c>
      <c r="F287" s="66">
        <v>4</v>
      </c>
    </row>
    <row r="288" spans="1:6" ht="16" x14ac:dyDescent="0.45">
      <c r="A288" s="7" t="s">
        <v>709</v>
      </c>
      <c r="B288" s="66">
        <v>2026</v>
      </c>
      <c r="C288" s="66">
        <v>10</v>
      </c>
      <c r="D288" s="6" t="s">
        <v>696</v>
      </c>
      <c r="E288" s="7" t="s">
        <v>208</v>
      </c>
      <c r="F288" s="66">
        <v>4</v>
      </c>
    </row>
    <row r="289" spans="1:6" ht="16" x14ac:dyDescent="0.45">
      <c r="A289" s="7" t="s">
        <v>710</v>
      </c>
      <c r="B289" s="66">
        <v>2026</v>
      </c>
      <c r="C289" s="66">
        <v>10</v>
      </c>
      <c r="D289" s="6" t="s">
        <v>696</v>
      </c>
      <c r="E289" s="7" t="s">
        <v>208</v>
      </c>
      <c r="F289" s="66">
        <v>4</v>
      </c>
    </row>
    <row r="290" spans="1:6" ht="16" x14ac:dyDescent="0.45">
      <c r="A290" s="7" t="s">
        <v>711</v>
      </c>
      <c r="B290" s="66">
        <v>2026</v>
      </c>
      <c r="C290" s="66">
        <v>10</v>
      </c>
      <c r="D290" s="6" t="s">
        <v>696</v>
      </c>
      <c r="E290" s="7" t="s">
        <v>208</v>
      </c>
      <c r="F290" s="66">
        <v>4</v>
      </c>
    </row>
    <row r="291" spans="1:6" ht="16" x14ac:dyDescent="0.45">
      <c r="A291" s="7" t="s">
        <v>712</v>
      </c>
      <c r="B291" s="66">
        <v>2026</v>
      </c>
      <c r="C291" s="66">
        <v>10</v>
      </c>
      <c r="D291" s="6" t="s">
        <v>696</v>
      </c>
      <c r="E291" s="7" t="s">
        <v>208</v>
      </c>
      <c r="F291" s="66">
        <v>4</v>
      </c>
    </row>
    <row r="292" spans="1:6" ht="16" x14ac:dyDescent="0.45">
      <c r="A292" s="7" t="s">
        <v>713</v>
      </c>
      <c r="B292" s="66">
        <v>2026</v>
      </c>
      <c r="C292" s="66">
        <v>10</v>
      </c>
      <c r="D292" s="6" t="s">
        <v>696</v>
      </c>
      <c r="E292" s="7" t="s">
        <v>208</v>
      </c>
      <c r="F292" s="66">
        <v>4</v>
      </c>
    </row>
    <row r="293" spans="1:6" ht="16" x14ac:dyDescent="0.45">
      <c r="A293" s="7" t="s">
        <v>714</v>
      </c>
      <c r="B293" s="66">
        <v>2026</v>
      </c>
      <c r="C293" s="66">
        <v>10</v>
      </c>
      <c r="D293" s="6" t="s">
        <v>696</v>
      </c>
      <c r="E293" s="7" t="s">
        <v>208</v>
      </c>
      <c r="F293" s="66">
        <v>4</v>
      </c>
    </row>
    <row r="294" spans="1:6" ht="16" x14ac:dyDescent="0.45">
      <c r="A294" s="7" t="s">
        <v>715</v>
      </c>
      <c r="B294" s="66">
        <v>2026</v>
      </c>
      <c r="C294" s="66">
        <v>10</v>
      </c>
      <c r="D294" s="6" t="s">
        <v>696</v>
      </c>
      <c r="E294" s="7" t="s">
        <v>208</v>
      </c>
      <c r="F294" s="66">
        <v>4</v>
      </c>
    </row>
    <row r="295" spans="1:6" ht="16" x14ac:dyDescent="0.45">
      <c r="A295" s="7" t="s">
        <v>716</v>
      </c>
      <c r="B295" s="66">
        <v>2026</v>
      </c>
      <c r="C295" s="66">
        <v>10</v>
      </c>
      <c r="D295" s="6" t="s">
        <v>696</v>
      </c>
      <c r="E295" s="7" t="s">
        <v>208</v>
      </c>
      <c r="F295" s="66">
        <v>4</v>
      </c>
    </row>
    <row r="296" spans="1:6" ht="16" x14ac:dyDescent="0.45">
      <c r="A296" s="7" t="s">
        <v>717</v>
      </c>
      <c r="B296" s="66">
        <v>2026</v>
      </c>
      <c r="C296" s="66">
        <v>10</v>
      </c>
      <c r="D296" s="6" t="s">
        <v>696</v>
      </c>
      <c r="E296" s="7" t="s">
        <v>208</v>
      </c>
      <c r="F296" s="66">
        <v>4</v>
      </c>
    </row>
    <row r="297" spans="1:6" ht="16" x14ac:dyDescent="0.45">
      <c r="A297" s="7" t="s">
        <v>718</v>
      </c>
      <c r="B297" s="66">
        <v>2026</v>
      </c>
      <c r="C297" s="66">
        <v>10</v>
      </c>
      <c r="D297" s="6" t="s">
        <v>696</v>
      </c>
      <c r="E297" s="7" t="s">
        <v>208</v>
      </c>
      <c r="F297" s="66">
        <v>4</v>
      </c>
    </row>
    <row r="298" spans="1:6" ht="16" x14ac:dyDescent="0.45">
      <c r="A298" s="7" t="s">
        <v>719</v>
      </c>
      <c r="B298" s="66">
        <v>2026</v>
      </c>
      <c r="C298" s="66">
        <v>10</v>
      </c>
      <c r="D298" s="6" t="s">
        <v>696</v>
      </c>
      <c r="E298" s="7" t="s">
        <v>208</v>
      </c>
      <c r="F298" s="66">
        <v>4</v>
      </c>
    </row>
    <row r="299" spans="1:6" ht="16" x14ac:dyDescent="0.45">
      <c r="A299" s="7" t="s">
        <v>720</v>
      </c>
      <c r="B299" s="66">
        <v>2026</v>
      </c>
      <c r="C299" s="66">
        <v>10</v>
      </c>
      <c r="D299" s="6" t="s">
        <v>696</v>
      </c>
      <c r="E299" s="7" t="s">
        <v>208</v>
      </c>
      <c r="F299" s="66">
        <v>4</v>
      </c>
    </row>
    <row r="300" spans="1:6" ht="16" x14ac:dyDescent="0.45">
      <c r="A300" s="7" t="s">
        <v>721</v>
      </c>
      <c r="B300" s="66">
        <v>2026</v>
      </c>
      <c r="C300" s="66">
        <v>10</v>
      </c>
      <c r="D300" s="6" t="s">
        <v>696</v>
      </c>
      <c r="E300" s="7" t="s">
        <v>208</v>
      </c>
      <c r="F300" s="66">
        <v>4</v>
      </c>
    </row>
    <row r="301" spans="1:6" ht="16" x14ac:dyDescent="0.45">
      <c r="A301" s="7" t="s">
        <v>722</v>
      </c>
      <c r="B301" s="66">
        <v>2026</v>
      </c>
      <c r="C301" s="66">
        <v>10</v>
      </c>
      <c r="D301" s="6" t="s">
        <v>696</v>
      </c>
      <c r="E301" s="7" t="s">
        <v>208</v>
      </c>
      <c r="F301" s="66">
        <v>4</v>
      </c>
    </row>
    <row r="302" spans="1:6" ht="16" x14ac:dyDescent="0.45">
      <c r="A302" s="7" t="s">
        <v>723</v>
      </c>
      <c r="B302" s="66">
        <v>2026</v>
      </c>
      <c r="C302" s="66">
        <v>10</v>
      </c>
      <c r="D302" s="6" t="s">
        <v>696</v>
      </c>
      <c r="E302" s="7" t="s">
        <v>208</v>
      </c>
      <c r="F302" s="66">
        <v>4</v>
      </c>
    </row>
    <row r="303" spans="1:6" ht="16" x14ac:dyDescent="0.45">
      <c r="A303" s="7" t="s">
        <v>724</v>
      </c>
      <c r="B303" s="66">
        <v>2026</v>
      </c>
      <c r="C303" s="66">
        <v>10</v>
      </c>
      <c r="D303" s="6" t="s">
        <v>696</v>
      </c>
      <c r="E303" s="7" t="s">
        <v>208</v>
      </c>
      <c r="F303" s="66">
        <v>4</v>
      </c>
    </row>
    <row r="304" spans="1:6" ht="16" x14ac:dyDescent="0.45">
      <c r="A304" s="7" t="s">
        <v>725</v>
      </c>
      <c r="B304" s="66">
        <v>2026</v>
      </c>
      <c r="C304" s="66">
        <v>10</v>
      </c>
      <c r="D304" s="6" t="s">
        <v>696</v>
      </c>
      <c r="E304" s="7" t="s">
        <v>208</v>
      </c>
      <c r="F304" s="66">
        <v>4</v>
      </c>
    </row>
    <row r="305" spans="1:6" ht="16" x14ac:dyDescent="0.45">
      <c r="A305" s="7" t="s">
        <v>726</v>
      </c>
      <c r="B305" s="66">
        <v>2026</v>
      </c>
      <c r="C305" s="66">
        <v>10</v>
      </c>
      <c r="D305" s="6" t="s">
        <v>696</v>
      </c>
      <c r="E305" s="7" t="s">
        <v>208</v>
      </c>
      <c r="F305" s="66">
        <v>4</v>
      </c>
    </row>
    <row r="306" spans="1:6" ht="16" x14ac:dyDescent="0.45">
      <c r="A306" s="7" t="s">
        <v>727</v>
      </c>
      <c r="B306" s="66">
        <v>2026</v>
      </c>
      <c r="C306" s="66">
        <v>11</v>
      </c>
      <c r="D306" s="6" t="s">
        <v>728</v>
      </c>
      <c r="E306" s="7" t="s">
        <v>210</v>
      </c>
      <c r="F306" s="66">
        <v>4</v>
      </c>
    </row>
    <row r="307" spans="1:6" ht="16" x14ac:dyDescent="0.45">
      <c r="A307" s="7" t="s">
        <v>729</v>
      </c>
      <c r="B307" s="66">
        <v>2026</v>
      </c>
      <c r="C307" s="66">
        <v>11</v>
      </c>
      <c r="D307" s="6" t="s">
        <v>728</v>
      </c>
      <c r="E307" s="7" t="s">
        <v>210</v>
      </c>
      <c r="F307" s="66">
        <v>4</v>
      </c>
    </row>
    <row r="308" spans="1:6" ht="16" x14ac:dyDescent="0.45">
      <c r="A308" s="7" t="s">
        <v>730</v>
      </c>
      <c r="B308" s="66">
        <v>2026</v>
      </c>
      <c r="C308" s="66">
        <v>11</v>
      </c>
      <c r="D308" s="6" t="s">
        <v>728</v>
      </c>
      <c r="E308" s="7" t="s">
        <v>210</v>
      </c>
      <c r="F308" s="66">
        <v>4</v>
      </c>
    </row>
    <row r="309" spans="1:6" ht="16" x14ac:dyDescent="0.45">
      <c r="A309" s="7" t="s">
        <v>731</v>
      </c>
      <c r="B309" s="66">
        <v>2026</v>
      </c>
      <c r="C309" s="66">
        <v>11</v>
      </c>
      <c r="D309" s="6" t="s">
        <v>728</v>
      </c>
      <c r="E309" s="7" t="s">
        <v>210</v>
      </c>
      <c r="F309" s="66">
        <v>4</v>
      </c>
    </row>
    <row r="310" spans="1:6" ht="16" x14ac:dyDescent="0.45">
      <c r="A310" s="7" t="s">
        <v>732</v>
      </c>
      <c r="B310" s="66">
        <v>2026</v>
      </c>
      <c r="C310" s="66">
        <v>11</v>
      </c>
      <c r="D310" s="6" t="s">
        <v>728</v>
      </c>
      <c r="E310" s="7" t="s">
        <v>210</v>
      </c>
      <c r="F310" s="66">
        <v>4</v>
      </c>
    </row>
    <row r="311" spans="1:6" ht="16" x14ac:dyDescent="0.45">
      <c r="A311" s="7" t="s">
        <v>733</v>
      </c>
      <c r="B311" s="66">
        <v>2026</v>
      </c>
      <c r="C311" s="66">
        <v>11</v>
      </c>
      <c r="D311" s="6" t="s">
        <v>728</v>
      </c>
      <c r="E311" s="7" t="s">
        <v>210</v>
      </c>
      <c r="F311" s="66">
        <v>4</v>
      </c>
    </row>
    <row r="312" spans="1:6" ht="16" x14ac:dyDescent="0.45">
      <c r="A312" s="7" t="s">
        <v>734</v>
      </c>
      <c r="B312" s="66">
        <v>2026</v>
      </c>
      <c r="C312" s="66">
        <v>11</v>
      </c>
      <c r="D312" s="6" t="s">
        <v>728</v>
      </c>
      <c r="E312" s="7" t="s">
        <v>210</v>
      </c>
      <c r="F312" s="66">
        <v>4</v>
      </c>
    </row>
    <row r="313" spans="1:6" ht="16" x14ac:dyDescent="0.45">
      <c r="A313" s="7" t="s">
        <v>735</v>
      </c>
      <c r="B313" s="66">
        <v>2026</v>
      </c>
      <c r="C313" s="66">
        <v>11</v>
      </c>
      <c r="D313" s="6" t="s">
        <v>728</v>
      </c>
      <c r="E313" s="7" t="s">
        <v>210</v>
      </c>
      <c r="F313" s="66">
        <v>4</v>
      </c>
    </row>
    <row r="314" spans="1:6" ht="16" x14ac:dyDescent="0.45">
      <c r="A314" s="7" t="s">
        <v>736</v>
      </c>
      <c r="B314" s="66">
        <v>2026</v>
      </c>
      <c r="C314" s="66">
        <v>11</v>
      </c>
      <c r="D314" s="6" t="s">
        <v>728</v>
      </c>
      <c r="E314" s="7" t="s">
        <v>210</v>
      </c>
      <c r="F314" s="66">
        <v>4</v>
      </c>
    </row>
    <row r="315" spans="1:6" ht="16" x14ac:dyDescent="0.45">
      <c r="A315" s="7" t="s">
        <v>737</v>
      </c>
      <c r="B315" s="66">
        <v>2026</v>
      </c>
      <c r="C315" s="66">
        <v>11</v>
      </c>
      <c r="D315" s="6" t="s">
        <v>728</v>
      </c>
      <c r="E315" s="7" t="s">
        <v>210</v>
      </c>
      <c r="F315" s="66">
        <v>4</v>
      </c>
    </row>
    <row r="316" spans="1:6" ht="16" x14ac:dyDescent="0.45">
      <c r="A316" s="7" t="s">
        <v>738</v>
      </c>
      <c r="B316" s="66">
        <v>2026</v>
      </c>
      <c r="C316" s="66">
        <v>11</v>
      </c>
      <c r="D316" s="6" t="s">
        <v>728</v>
      </c>
      <c r="E316" s="7" t="s">
        <v>210</v>
      </c>
      <c r="F316" s="66">
        <v>4</v>
      </c>
    </row>
    <row r="317" spans="1:6" ht="16" x14ac:dyDescent="0.45">
      <c r="A317" s="7" t="s">
        <v>739</v>
      </c>
      <c r="B317" s="66">
        <v>2026</v>
      </c>
      <c r="C317" s="66">
        <v>11</v>
      </c>
      <c r="D317" s="6" t="s">
        <v>728</v>
      </c>
      <c r="E317" s="7" t="s">
        <v>210</v>
      </c>
      <c r="F317" s="66">
        <v>4</v>
      </c>
    </row>
    <row r="318" spans="1:6" ht="16" x14ac:dyDescent="0.45">
      <c r="A318" s="7" t="s">
        <v>740</v>
      </c>
      <c r="B318" s="66">
        <v>2026</v>
      </c>
      <c r="C318" s="66">
        <v>11</v>
      </c>
      <c r="D318" s="6" t="s">
        <v>728</v>
      </c>
      <c r="E318" s="7" t="s">
        <v>210</v>
      </c>
      <c r="F318" s="66">
        <v>4</v>
      </c>
    </row>
    <row r="319" spans="1:6" ht="16" x14ac:dyDescent="0.45">
      <c r="A319" s="7" t="s">
        <v>741</v>
      </c>
      <c r="B319" s="66">
        <v>2026</v>
      </c>
      <c r="C319" s="66">
        <v>11</v>
      </c>
      <c r="D319" s="6" t="s">
        <v>728</v>
      </c>
      <c r="E319" s="7" t="s">
        <v>210</v>
      </c>
      <c r="F319" s="66">
        <v>4</v>
      </c>
    </row>
    <row r="320" spans="1:6" ht="16" x14ac:dyDescent="0.45">
      <c r="A320" s="7" t="s">
        <v>742</v>
      </c>
      <c r="B320" s="66">
        <v>2026</v>
      </c>
      <c r="C320" s="66">
        <v>11</v>
      </c>
      <c r="D320" s="6" t="s">
        <v>728</v>
      </c>
      <c r="E320" s="7" t="s">
        <v>210</v>
      </c>
      <c r="F320" s="66">
        <v>4</v>
      </c>
    </row>
    <row r="321" spans="1:6" ht="16" x14ac:dyDescent="0.45">
      <c r="A321" s="7" t="s">
        <v>743</v>
      </c>
      <c r="B321" s="66">
        <v>2026</v>
      </c>
      <c r="C321" s="66">
        <v>11</v>
      </c>
      <c r="D321" s="6" t="s">
        <v>728</v>
      </c>
      <c r="E321" s="7" t="s">
        <v>210</v>
      </c>
      <c r="F321" s="66">
        <v>4</v>
      </c>
    </row>
    <row r="322" spans="1:6" ht="16" x14ac:dyDescent="0.45">
      <c r="A322" s="7" t="s">
        <v>744</v>
      </c>
      <c r="B322" s="66">
        <v>2026</v>
      </c>
      <c r="C322" s="66">
        <v>11</v>
      </c>
      <c r="D322" s="6" t="s">
        <v>728</v>
      </c>
      <c r="E322" s="7" t="s">
        <v>210</v>
      </c>
      <c r="F322" s="66">
        <v>4</v>
      </c>
    </row>
    <row r="323" spans="1:6" ht="16" x14ac:dyDescent="0.45">
      <c r="A323" s="7" t="s">
        <v>745</v>
      </c>
      <c r="B323" s="66">
        <v>2026</v>
      </c>
      <c r="C323" s="66">
        <v>11</v>
      </c>
      <c r="D323" s="6" t="s">
        <v>728</v>
      </c>
      <c r="E323" s="7" t="s">
        <v>210</v>
      </c>
      <c r="F323" s="66">
        <v>4</v>
      </c>
    </row>
    <row r="324" spans="1:6" ht="16" x14ac:dyDescent="0.45">
      <c r="A324" s="7" t="s">
        <v>746</v>
      </c>
      <c r="B324" s="66">
        <v>2026</v>
      </c>
      <c r="C324" s="66">
        <v>11</v>
      </c>
      <c r="D324" s="6" t="s">
        <v>728</v>
      </c>
      <c r="E324" s="7" t="s">
        <v>210</v>
      </c>
      <c r="F324" s="66">
        <v>4</v>
      </c>
    </row>
    <row r="325" spans="1:6" ht="16" x14ac:dyDescent="0.45">
      <c r="A325" s="7" t="s">
        <v>747</v>
      </c>
      <c r="B325" s="66">
        <v>2026</v>
      </c>
      <c r="C325" s="66">
        <v>11</v>
      </c>
      <c r="D325" s="6" t="s">
        <v>728</v>
      </c>
      <c r="E325" s="7" t="s">
        <v>210</v>
      </c>
      <c r="F325" s="66">
        <v>4</v>
      </c>
    </row>
    <row r="326" spans="1:6" ht="16" x14ac:dyDescent="0.45">
      <c r="A326" s="7" t="s">
        <v>748</v>
      </c>
      <c r="B326" s="66">
        <v>2026</v>
      </c>
      <c r="C326" s="66">
        <v>11</v>
      </c>
      <c r="D326" s="6" t="s">
        <v>728</v>
      </c>
      <c r="E326" s="7" t="s">
        <v>210</v>
      </c>
      <c r="F326" s="66">
        <v>4</v>
      </c>
    </row>
    <row r="327" spans="1:6" ht="16" x14ac:dyDescent="0.45">
      <c r="A327" s="7" t="s">
        <v>749</v>
      </c>
      <c r="B327" s="66">
        <v>2026</v>
      </c>
      <c r="C327" s="66">
        <v>11</v>
      </c>
      <c r="D327" s="6" t="s">
        <v>728</v>
      </c>
      <c r="E327" s="7" t="s">
        <v>210</v>
      </c>
      <c r="F327" s="66">
        <v>4</v>
      </c>
    </row>
    <row r="328" spans="1:6" ht="16" x14ac:dyDescent="0.45">
      <c r="A328" s="7" t="s">
        <v>750</v>
      </c>
      <c r="B328" s="66">
        <v>2026</v>
      </c>
      <c r="C328" s="66">
        <v>11</v>
      </c>
      <c r="D328" s="6" t="s">
        <v>728</v>
      </c>
      <c r="E328" s="7" t="s">
        <v>210</v>
      </c>
      <c r="F328" s="66">
        <v>4</v>
      </c>
    </row>
    <row r="329" spans="1:6" ht="16" x14ac:dyDescent="0.45">
      <c r="A329" s="7" t="s">
        <v>751</v>
      </c>
      <c r="B329" s="66">
        <v>2026</v>
      </c>
      <c r="C329" s="66">
        <v>11</v>
      </c>
      <c r="D329" s="6" t="s">
        <v>728</v>
      </c>
      <c r="E329" s="7" t="s">
        <v>210</v>
      </c>
      <c r="F329" s="66">
        <v>4</v>
      </c>
    </row>
    <row r="330" spans="1:6" ht="16" x14ac:dyDescent="0.45">
      <c r="A330" s="7" t="s">
        <v>752</v>
      </c>
      <c r="B330" s="66">
        <v>2026</v>
      </c>
      <c r="C330" s="66">
        <v>11</v>
      </c>
      <c r="D330" s="6" t="s">
        <v>728</v>
      </c>
      <c r="E330" s="7" t="s">
        <v>210</v>
      </c>
      <c r="F330" s="66">
        <v>4</v>
      </c>
    </row>
    <row r="331" spans="1:6" ht="16" x14ac:dyDescent="0.45">
      <c r="A331" s="7" t="s">
        <v>753</v>
      </c>
      <c r="B331" s="66">
        <v>2026</v>
      </c>
      <c r="C331" s="66">
        <v>11</v>
      </c>
      <c r="D331" s="6" t="s">
        <v>728</v>
      </c>
      <c r="E331" s="7" t="s">
        <v>210</v>
      </c>
      <c r="F331" s="66">
        <v>4</v>
      </c>
    </row>
    <row r="332" spans="1:6" ht="16" x14ac:dyDescent="0.45">
      <c r="A332" s="7" t="s">
        <v>754</v>
      </c>
      <c r="B332" s="66">
        <v>2026</v>
      </c>
      <c r="C332" s="66">
        <v>11</v>
      </c>
      <c r="D332" s="6" t="s">
        <v>728</v>
      </c>
      <c r="E332" s="7" t="s">
        <v>210</v>
      </c>
      <c r="F332" s="66">
        <v>4</v>
      </c>
    </row>
    <row r="333" spans="1:6" ht="16" x14ac:dyDescent="0.45">
      <c r="A333" s="7" t="s">
        <v>755</v>
      </c>
      <c r="B333" s="66">
        <v>2026</v>
      </c>
      <c r="C333" s="66">
        <v>11</v>
      </c>
      <c r="D333" s="6" t="s">
        <v>728</v>
      </c>
      <c r="E333" s="7" t="s">
        <v>210</v>
      </c>
      <c r="F333" s="66">
        <v>4</v>
      </c>
    </row>
    <row r="334" spans="1:6" ht="16" x14ac:dyDescent="0.45">
      <c r="A334" s="7" t="s">
        <v>756</v>
      </c>
      <c r="B334" s="66">
        <v>2026</v>
      </c>
      <c r="C334" s="66">
        <v>11</v>
      </c>
      <c r="D334" s="6" t="s">
        <v>728</v>
      </c>
      <c r="E334" s="7" t="s">
        <v>210</v>
      </c>
      <c r="F334" s="66">
        <v>4</v>
      </c>
    </row>
    <row r="335" spans="1:6" ht="16" x14ac:dyDescent="0.45">
      <c r="A335" s="7" t="s">
        <v>757</v>
      </c>
      <c r="B335" s="66">
        <v>2026</v>
      </c>
      <c r="C335" s="66">
        <v>11</v>
      </c>
      <c r="D335" s="6" t="s">
        <v>728</v>
      </c>
      <c r="E335" s="7" t="s">
        <v>210</v>
      </c>
      <c r="F335" s="66">
        <v>4</v>
      </c>
    </row>
    <row r="336" spans="1:6" ht="16" x14ac:dyDescent="0.45">
      <c r="A336" s="7" t="s">
        <v>758</v>
      </c>
      <c r="B336" s="66">
        <v>2026</v>
      </c>
      <c r="C336" s="66">
        <v>12</v>
      </c>
      <c r="D336" s="6" t="s">
        <v>759</v>
      </c>
      <c r="E336" s="7" t="s">
        <v>213</v>
      </c>
      <c r="F336" s="66">
        <v>4</v>
      </c>
    </row>
    <row r="337" spans="1:6" ht="16" x14ac:dyDescent="0.45">
      <c r="A337" s="7" t="s">
        <v>760</v>
      </c>
      <c r="B337" s="66">
        <v>2026</v>
      </c>
      <c r="C337" s="66">
        <v>12</v>
      </c>
      <c r="D337" s="6" t="s">
        <v>759</v>
      </c>
      <c r="E337" s="7" t="s">
        <v>213</v>
      </c>
      <c r="F337" s="66">
        <v>4</v>
      </c>
    </row>
    <row r="338" spans="1:6" ht="16" x14ac:dyDescent="0.45">
      <c r="A338" s="7" t="s">
        <v>761</v>
      </c>
      <c r="B338" s="66">
        <v>2026</v>
      </c>
      <c r="C338" s="66">
        <v>12</v>
      </c>
      <c r="D338" s="6" t="s">
        <v>759</v>
      </c>
      <c r="E338" s="7" t="s">
        <v>213</v>
      </c>
      <c r="F338" s="66">
        <v>4</v>
      </c>
    </row>
    <row r="339" spans="1:6" ht="16" x14ac:dyDescent="0.45">
      <c r="A339" s="7" t="s">
        <v>762</v>
      </c>
      <c r="B339" s="66">
        <v>2026</v>
      </c>
      <c r="C339" s="66">
        <v>12</v>
      </c>
      <c r="D339" s="6" t="s">
        <v>759</v>
      </c>
      <c r="E339" s="7" t="s">
        <v>213</v>
      </c>
      <c r="F339" s="66">
        <v>4</v>
      </c>
    </row>
    <row r="340" spans="1:6" ht="16" x14ac:dyDescent="0.45">
      <c r="A340" s="7" t="s">
        <v>763</v>
      </c>
      <c r="B340" s="66">
        <v>2026</v>
      </c>
      <c r="C340" s="66">
        <v>12</v>
      </c>
      <c r="D340" s="6" t="s">
        <v>759</v>
      </c>
      <c r="E340" s="7" t="s">
        <v>213</v>
      </c>
      <c r="F340" s="66">
        <v>4</v>
      </c>
    </row>
    <row r="341" spans="1:6" ht="16" x14ac:dyDescent="0.45">
      <c r="A341" s="7" t="s">
        <v>764</v>
      </c>
      <c r="B341" s="66">
        <v>2026</v>
      </c>
      <c r="C341" s="66">
        <v>12</v>
      </c>
      <c r="D341" s="6" t="s">
        <v>759</v>
      </c>
      <c r="E341" s="7" t="s">
        <v>213</v>
      </c>
      <c r="F341" s="66">
        <v>4</v>
      </c>
    </row>
    <row r="342" spans="1:6" ht="16" x14ac:dyDescent="0.45">
      <c r="A342" s="7" t="s">
        <v>765</v>
      </c>
      <c r="B342" s="66">
        <v>2026</v>
      </c>
      <c r="C342" s="66">
        <v>12</v>
      </c>
      <c r="D342" s="6" t="s">
        <v>759</v>
      </c>
      <c r="E342" s="7" t="s">
        <v>213</v>
      </c>
      <c r="F342" s="66">
        <v>4</v>
      </c>
    </row>
    <row r="343" spans="1:6" ht="16" x14ac:dyDescent="0.45">
      <c r="A343" s="7" t="s">
        <v>766</v>
      </c>
      <c r="B343" s="66">
        <v>2026</v>
      </c>
      <c r="C343" s="66">
        <v>12</v>
      </c>
      <c r="D343" s="6" t="s">
        <v>759</v>
      </c>
      <c r="E343" s="7" t="s">
        <v>213</v>
      </c>
      <c r="F343" s="66">
        <v>4</v>
      </c>
    </row>
    <row r="344" spans="1:6" ht="16" x14ac:dyDescent="0.45">
      <c r="A344" s="7" t="s">
        <v>767</v>
      </c>
      <c r="B344" s="66">
        <v>2026</v>
      </c>
      <c r="C344" s="66">
        <v>12</v>
      </c>
      <c r="D344" s="6" t="s">
        <v>759</v>
      </c>
      <c r="E344" s="7" t="s">
        <v>213</v>
      </c>
      <c r="F344" s="66">
        <v>4</v>
      </c>
    </row>
    <row r="345" spans="1:6" ht="16" x14ac:dyDescent="0.45">
      <c r="A345" s="7" t="s">
        <v>768</v>
      </c>
      <c r="B345" s="66">
        <v>2026</v>
      </c>
      <c r="C345" s="66">
        <v>12</v>
      </c>
      <c r="D345" s="6" t="s">
        <v>759</v>
      </c>
      <c r="E345" s="7" t="s">
        <v>213</v>
      </c>
      <c r="F345" s="66">
        <v>4</v>
      </c>
    </row>
    <row r="346" spans="1:6" ht="16" x14ac:dyDescent="0.45">
      <c r="A346" s="7" t="s">
        <v>769</v>
      </c>
      <c r="B346" s="66">
        <v>2026</v>
      </c>
      <c r="C346" s="66">
        <v>12</v>
      </c>
      <c r="D346" s="6" t="s">
        <v>759</v>
      </c>
      <c r="E346" s="7" t="s">
        <v>213</v>
      </c>
      <c r="F346" s="66">
        <v>4</v>
      </c>
    </row>
    <row r="347" spans="1:6" ht="16" x14ac:dyDescent="0.45">
      <c r="A347" s="7" t="s">
        <v>770</v>
      </c>
      <c r="B347" s="66">
        <v>2026</v>
      </c>
      <c r="C347" s="66">
        <v>12</v>
      </c>
      <c r="D347" s="6" t="s">
        <v>759</v>
      </c>
      <c r="E347" s="7" t="s">
        <v>213</v>
      </c>
      <c r="F347" s="66">
        <v>4</v>
      </c>
    </row>
    <row r="348" spans="1:6" ht="16" x14ac:dyDescent="0.45">
      <c r="A348" s="7" t="s">
        <v>771</v>
      </c>
      <c r="B348" s="66">
        <v>2026</v>
      </c>
      <c r="C348" s="66">
        <v>12</v>
      </c>
      <c r="D348" s="6" t="s">
        <v>759</v>
      </c>
      <c r="E348" s="7" t="s">
        <v>213</v>
      </c>
      <c r="F348" s="66">
        <v>4</v>
      </c>
    </row>
    <row r="349" spans="1:6" ht="16" x14ac:dyDescent="0.45">
      <c r="A349" s="7" t="s">
        <v>772</v>
      </c>
      <c r="B349" s="66">
        <v>2026</v>
      </c>
      <c r="C349" s="66">
        <v>12</v>
      </c>
      <c r="D349" s="6" t="s">
        <v>759</v>
      </c>
      <c r="E349" s="7" t="s">
        <v>213</v>
      </c>
      <c r="F349" s="66">
        <v>4</v>
      </c>
    </row>
    <row r="350" spans="1:6" ht="16" x14ac:dyDescent="0.45">
      <c r="A350" s="7" t="s">
        <v>773</v>
      </c>
      <c r="B350" s="66">
        <v>2026</v>
      </c>
      <c r="C350" s="66">
        <v>12</v>
      </c>
      <c r="D350" s="6" t="s">
        <v>759</v>
      </c>
      <c r="E350" s="7" t="s">
        <v>213</v>
      </c>
      <c r="F350" s="66">
        <v>4</v>
      </c>
    </row>
    <row r="351" spans="1:6" ht="16" x14ac:dyDescent="0.45">
      <c r="A351" s="7" t="s">
        <v>774</v>
      </c>
      <c r="B351" s="66">
        <v>2026</v>
      </c>
      <c r="C351" s="66">
        <v>12</v>
      </c>
      <c r="D351" s="6" t="s">
        <v>759</v>
      </c>
      <c r="E351" s="7" t="s">
        <v>213</v>
      </c>
      <c r="F351" s="66">
        <v>4</v>
      </c>
    </row>
    <row r="352" spans="1:6" ht="16" x14ac:dyDescent="0.45">
      <c r="A352" s="7" t="s">
        <v>775</v>
      </c>
      <c r="B352" s="66">
        <v>2026</v>
      </c>
      <c r="C352" s="66">
        <v>12</v>
      </c>
      <c r="D352" s="6" t="s">
        <v>759</v>
      </c>
      <c r="E352" s="7" t="s">
        <v>213</v>
      </c>
      <c r="F352" s="66">
        <v>4</v>
      </c>
    </row>
    <row r="353" spans="1:6" ht="16" x14ac:dyDescent="0.45">
      <c r="A353" s="7" t="s">
        <v>776</v>
      </c>
      <c r="B353" s="66">
        <v>2026</v>
      </c>
      <c r="C353" s="66">
        <v>12</v>
      </c>
      <c r="D353" s="6" t="s">
        <v>759</v>
      </c>
      <c r="E353" s="7" t="s">
        <v>213</v>
      </c>
      <c r="F353" s="66">
        <v>4</v>
      </c>
    </row>
    <row r="354" spans="1:6" ht="16" x14ac:dyDescent="0.45">
      <c r="A354" s="7" t="s">
        <v>777</v>
      </c>
      <c r="B354" s="66">
        <v>2026</v>
      </c>
      <c r="C354" s="66">
        <v>12</v>
      </c>
      <c r="D354" s="6" t="s">
        <v>759</v>
      </c>
      <c r="E354" s="7" t="s">
        <v>213</v>
      </c>
      <c r="F354" s="66">
        <v>4</v>
      </c>
    </row>
    <row r="355" spans="1:6" ht="16" x14ac:dyDescent="0.45">
      <c r="A355" s="7" t="s">
        <v>778</v>
      </c>
      <c r="B355" s="66">
        <v>2026</v>
      </c>
      <c r="C355" s="66">
        <v>12</v>
      </c>
      <c r="D355" s="6" t="s">
        <v>759</v>
      </c>
      <c r="E355" s="7" t="s">
        <v>213</v>
      </c>
      <c r="F355" s="66">
        <v>4</v>
      </c>
    </row>
    <row r="356" spans="1:6" ht="16" x14ac:dyDescent="0.45">
      <c r="A356" s="7" t="s">
        <v>779</v>
      </c>
      <c r="B356" s="66">
        <v>2026</v>
      </c>
      <c r="C356" s="66">
        <v>12</v>
      </c>
      <c r="D356" s="6" t="s">
        <v>759</v>
      </c>
      <c r="E356" s="7" t="s">
        <v>213</v>
      </c>
      <c r="F356" s="66">
        <v>4</v>
      </c>
    </row>
    <row r="357" spans="1:6" ht="16" x14ac:dyDescent="0.45">
      <c r="A357" s="7" t="s">
        <v>780</v>
      </c>
      <c r="B357" s="66">
        <v>2026</v>
      </c>
      <c r="C357" s="66">
        <v>12</v>
      </c>
      <c r="D357" s="6" t="s">
        <v>759</v>
      </c>
      <c r="E357" s="7" t="s">
        <v>213</v>
      </c>
      <c r="F357" s="66">
        <v>4</v>
      </c>
    </row>
    <row r="358" spans="1:6" ht="16" x14ac:dyDescent="0.45">
      <c r="A358" s="7" t="s">
        <v>781</v>
      </c>
      <c r="B358" s="66">
        <v>2026</v>
      </c>
      <c r="C358" s="66">
        <v>12</v>
      </c>
      <c r="D358" s="6" t="s">
        <v>759</v>
      </c>
      <c r="E358" s="7" t="s">
        <v>213</v>
      </c>
      <c r="F358" s="66">
        <v>4</v>
      </c>
    </row>
    <row r="359" spans="1:6" ht="16" x14ac:dyDescent="0.45">
      <c r="A359" s="7" t="s">
        <v>782</v>
      </c>
      <c r="B359" s="66">
        <v>2026</v>
      </c>
      <c r="C359" s="66">
        <v>12</v>
      </c>
      <c r="D359" s="6" t="s">
        <v>759</v>
      </c>
      <c r="E359" s="7" t="s">
        <v>213</v>
      </c>
      <c r="F359" s="66">
        <v>4</v>
      </c>
    </row>
    <row r="360" spans="1:6" ht="16" x14ac:dyDescent="0.45">
      <c r="A360" s="7" t="s">
        <v>783</v>
      </c>
      <c r="B360" s="66">
        <v>2026</v>
      </c>
      <c r="C360" s="66">
        <v>12</v>
      </c>
      <c r="D360" s="6" t="s">
        <v>759</v>
      </c>
      <c r="E360" s="7" t="s">
        <v>213</v>
      </c>
      <c r="F360" s="66">
        <v>4</v>
      </c>
    </row>
    <row r="361" spans="1:6" ht="16" x14ac:dyDescent="0.45">
      <c r="A361" s="7" t="s">
        <v>784</v>
      </c>
      <c r="B361" s="66">
        <v>2026</v>
      </c>
      <c r="C361" s="66">
        <v>12</v>
      </c>
      <c r="D361" s="6" t="s">
        <v>759</v>
      </c>
      <c r="E361" s="7" t="s">
        <v>213</v>
      </c>
      <c r="F361" s="66">
        <v>4</v>
      </c>
    </row>
    <row r="362" spans="1:6" ht="16" x14ac:dyDescent="0.45">
      <c r="A362" s="7" t="s">
        <v>785</v>
      </c>
      <c r="B362" s="66">
        <v>2026</v>
      </c>
      <c r="C362" s="66">
        <v>12</v>
      </c>
      <c r="D362" s="6" t="s">
        <v>759</v>
      </c>
      <c r="E362" s="7" t="s">
        <v>213</v>
      </c>
      <c r="F362" s="66">
        <v>4</v>
      </c>
    </row>
    <row r="363" spans="1:6" ht="16" x14ac:dyDescent="0.45">
      <c r="A363" s="7" t="s">
        <v>786</v>
      </c>
      <c r="B363" s="66">
        <v>2026</v>
      </c>
      <c r="C363" s="66">
        <v>12</v>
      </c>
      <c r="D363" s="6" t="s">
        <v>759</v>
      </c>
      <c r="E363" s="7" t="s">
        <v>213</v>
      </c>
      <c r="F363" s="66">
        <v>4</v>
      </c>
    </row>
    <row r="364" spans="1:6" ht="16" x14ac:dyDescent="0.45">
      <c r="A364" s="7" t="s">
        <v>787</v>
      </c>
      <c r="B364" s="66">
        <v>2026</v>
      </c>
      <c r="C364" s="66">
        <v>12</v>
      </c>
      <c r="D364" s="6" t="s">
        <v>759</v>
      </c>
      <c r="E364" s="7" t="s">
        <v>213</v>
      </c>
      <c r="F364" s="66">
        <v>4</v>
      </c>
    </row>
    <row r="365" spans="1:6" ht="16" x14ac:dyDescent="0.45">
      <c r="A365" s="7" t="s">
        <v>788</v>
      </c>
      <c r="B365" s="66">
        <v>2026</v>
      </c>
      <c r="C365" s="66">
        <v>12</v>
      </c>
      <c r="D365" s="6" t="s">
        <v>759</v>
      </c>
      <c r="E365" s="7" t="s">
        <v>213</v>
      </c>
      <c r="F365" s="66">
        <v>4</v>
      </c>
    </row>
    <row r="366" spans="1:6" ht="16" x14ac:dyDescent="0.45">
      <c r="A366" s="7" t="s">
        <v>789</v>
      </c>
      <c r="B366" s="66">
        <v>2026</v>
      </c>
      <c r="C366" s="66">
        <v>12</v>
      </c>
      <c r="D366" s="6" t="s">
        <v>759</v>
      </c>
      <c r="E366" s="7" t="s">
        <v>213</v>
      </c>
      <c r="F366" s="66">
        <v>4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/>
  </sheetViews>
  <sheetFormatPr defaultRowHeight="14.5" x14ac:dyDescent="0.35"/>
  <cols>
    <col min="1" max="1" width="13" customWidth="1"/>
    <col min="2" max="2" width="31" customWidth="1"/>
    <col min="3" max="3" width="39" customWidth="1"/>
    <col min="4" max="4" width="15" customWidth="1"/>
    <col min="5" max="5" width="19" customWidth="1"/>
    <col min="6" max="6" width="83" customWidth="1"/>
  </cols>
  <sheetData>
    <row r="1" spans="1:6" ht="16" x14ac:dyDescent="0.45">
      <c r="A1" s="4" t="s">
        <v>790</v>
      </c>
      <c r="B1" s="4" t="s">
        <v>791</v>
      </c>
      <c r="C1" s="4" t="s">
        <v>792</v>
      </c>
      <c r="D1" s="4" t="s">
        <v>793</v>
      </c>
      <c r="E1" s="4" t="s">
        <v>794</v>
      </c>
      <c r="F1" s="4" t="s">
        <v>795</v>
      </c>
    </row>
    <row r="2" spans="1:6" ht="16" x14ac:dyDescent="0.45">
      <c r="A2" s="7" t="s">
        <v>152</v>
      </c>
      <c r="B2" s="6" t="s">
        <v>796</v>
      </c>
      <c r="C2" s="6" t="s">
        <v>797</v>
      </c>
      <c r="D2" s="71">
        <v>1</v>
      </c>
      <c r="E2" s="71">
        <v>0</v>
      </c>
      <c r="F2" s="6" t="s">
        <v>798</v>
      </c>
    </row>
    <row r="3" spans="1:6" ht="16" x14ac:dyDescent="0.45">
      <c r="A3" s="7" t="s">
        <v>106</v>
      </c>
      <c r="B3" s="6" t="s">
        <v>799</v>
      </c>
      <c r="C3" s="6" t="s">
        <v>800</v>
      </c>
      <c r="D3" s="71">
        <v>0.5</v>
      </c>
      <c r="E3" s="71">
        <v>0.5</v>
      </c>
      <c r="F3" s="6" t="s">
        <v>801</v>
      </c>
    </row>
    <row r="4" spans="1:6" ht="16" x14ac:dyDescent="0.45">
      <c r="A4" s="7" t="s">
        <v>802</v>
      </c>
      <c r="B4" s="6" t="s">
        <v>803</v>
      </c>
      <c r="C4" s="6" t="s">
        <v>804</v>
      </c>
      <c r="D4" s="71">
        <v>0.8</v>
      </c>
      <c r="E4" s="71">
        <v>0.2</v>
      </c>
      <c r="F4" s="6" t="s">
        <v>805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9"/>
  <sheetViews>
    <sheetView workbookViewId="0"/>
  </sheetViews>
  <sheetFormatPr defaultRowHeight="14.5" x14ac:dyDescent="0.35"/>
  <cols>
    <col min="1" max="1" width="20" customWidth="1"/>
    <col min="2" max="2" width="23" customWidth="1"/>
    <col min="3" max="3" width="16" customWidth="1"/>
    <col min="4" max="7" width="22" customWidth="1"/>
    <col min="8" max="9" width="12" customWidth="1"/>
    <col min="10" max="13" width="23" customWidth="1"/>
    <col min="14" max="15" width="12" customWidth="1"/>
  </cols>
  <sheetData>
    <row r="1" spans="1:15" ht="16" x14ac:dyDescent="0.45">
      <c r="A1" s="4" t="s">
        <v>806</v>
      </c>
      <c r="B1" s="4" t="s">
        <v>807</v>
      </c>
      <c r="C1" s="4" t="s">
        <v>392</v>
      </c>
      <c r="D1" s="4" t="s">
        <v>397</v>
      </c>
      <c r="E1" s="4" t="s">
        <v>808</v>
      </c>
      <c r="F1" s="4" t="s">
        <v>809</v>
      </c>
      <c r="G1" s="4" t="s">
        <v>810</v>
      </c>
      <c r="H1" s="4" t="s">
        <v>811</v>
      </c>
      <c r="I1" s="4" t="s">
        <v>812</v>
      </c>
      <c r="J1" s="4" t="s">
        <v>813</v>
      </c>
      <c r="K1" s="4" t="s">
        <v>814</v>
      </c>
      <c r="L1" s="4" t="s">
        <v>815</v>
      </c>
      <c r="M1" s="4" t="s">
        <v>816</v>
      </c>
      <c r="N1" s="4" t="s">
        <v>817</v>
      </c>
      <c r="O1" s="4" t="s">
        <v>398</v>
      </c>
    </row>
    <row r="2" spans="1:15" ht="16" x14ac:dyDescent="0.45">
      <c r="A2" s="7" t="s">
        <v>204</v>
      </c>
      <c r="B2" s="7" t="s">
        <v>818</v>
      </c>
      <c r="C2" s="7" t="s">
        <v>162</v>
      </c>
      <c r="D2" s="13">
        <v>18500000</v>
      </c>
      <c r="E2" s="13">
        <v>12333333</v>
      </c>
      <c r="F2" s="13">
        <v>12600000</v>
      </c>
      <c r="G2" s="13">
        <v>12100000</v>
      </c>
      <c r="H2" s="23">
        <v>1.04</v>
      </c>
      <c r="I2" s="23">
        <v>1.02</v>
      </c>
      <c r="J2" s="13">
        <v>17788461.539999999</v>
      </c>
      <c r="K2" s="13">
        <v>17661840.120000001</v>
      </c>
      <c r="L2" s="13">
        <v>17794980.690000001</v>
      </c>
      <c r="M2" s="13">
        <v>711538.46</v>
      </c>
      <c r="N2" s="23">
        <v>0.92</v>
      </c>
      <c r="O2" s="6" t="s">
        <v>402</v>
      </c>
    </row>
    <row r="3" spans="1:15" ht="16" x14ac:dyDescent="0.45">
      <c r="A3" s="7" t="s">
        <v>204</v>
      </c>
      <c r="B3" s="7" t="s">
        <v>818</v>
      </c>
      <c r="C3" s="7" t="s">
        <v>164</v>
      </c>
      <c r="D3" s="13">
        <v>8200000</v>
      </c>
      <c r="E3" s="13">
        <v>5466667</v>
      </c>
      <c r="F3" s="13">
        <v>4300000</v>
      </c>
      <c r="G3" s="13">
        <v>5800000</v>
      </c>
      <c r="H3" s="23">
        <v>0.74</v>
      </c>
      <c r="I3" s="23">
        <v>0.79</v>
      </c>
      <c r="J3" s="13">
        <v>11081081.08</v>
      </c>
      <c r="K3" s="13">
        <v>12471228.189999999</v>
      </c>
      <c r="L3" s="13">
        <v>11000000</v>
      </c>
      <c r="M3" s="13">
        <v>-2881081.08</v>
      </c>
      <c r="N3" s="23">
        <v>1.62</v>
      </c>
      <c r="O3" s="6" t="s">
        <v>406</v>
      </c>
    </row>
    <row r="4" spans="1:15" ht="16" x14ac:dyDescent="0.45">
      <c r="A4" s="7" t="s">
        <v>204</v>
      </c>
      <c r="B4" s="7" t="s">
        <v>818</v>
      </c>
      <c r="C4" s="7" t="s">
        <v>166</v>
      </c>
      <c r="D4" s="13">
        <v>45000000</v>
      </c>
      <c r="E4" s="13">
        <v>30000000</v>
      </c>
      <c r="F4" s="13">
        <v>27500000</v>
      </c>
      <c r="G4" s="13">
        <v>30200000</v>
      </c>
      <c r="H4" s="23">
        <v>0.91</v>
      </c>
      <c r="I4" s="23">
        <v>0.92</v>
      </c>
      <c r="J4" s="13">
        <v>49450549.450000003</v>
      </c>
      <c r="K4" s="13">
        <v>51103010.030000001</v>
      </c>
      <c r="L4" s="13">
        <v>49388596.490000002</v>
      </c>
      <c r="M4" s="13">
        <v>-4450549.45</v>
      </c>
      <c r="N4" s="23">
        <v>1.18</v>
      </c>
      <c r="O4" s="6" t="s">
        <v>406</v>
      </c>
    </row>
    <row r="5" spans="1:15" ht="16" x14ac:dyDescent="0.45">
      <c r="A5" s="7" t="s">
        <v>204</v>
      </c>
      <c r="B5" s="7" t="s">
        <v>818</v>
      </c>
      <c r="C5" s="7" t="s">
        <v>819</v>
      </c>
      <c r="D5" s="13">
        <v>12000000</v>
      </c>
      <c r="E5" s="13">
        <v>8000000</v>
      </c>
      <c r="F5" s="13">
        <v>8300000</v>
      </c>
      <c r="G5" s="13">
        <v>7900000</v>
      </c>
      <c r="H5" s="23">
        <v>1.05</v>
      </c>
      <c r="I5" s="23">
        <v>1.04</v>
      </c>
      <c r="J5" s="13">
        <v>11428571.43</v>
      </c>
      <c r="K5" s="13">
        <v>11288278.390000001</v>
      </c>
      <c r="L5" s="13">
        <v>11430534.35</v>
      </c>
      <c r="M5" s="13">
        <v>571428.56999999995</v>
      </c>
      <c r="N5" s="23">
        <v>0.9</v>
      </c>
      <c r="O5" s="6" t="s">
        <v>402</v>
      </c>
    </row>
    <row r="6" spans="1:15" ht="16" x14ac:dyDescent="0.45">
      <c r="A6" s="7" t="s">
        <v>204</v>
      </c>
      <c r="B6" s="7" t="s">
        <v>818</v>
      </c>
      <c r="C6" s="7" t="s">
        <v>820</v>
      </c>
      <c r="D6" s="13">
        <v>15000000</v>
      </c>
      <c r="E6" s="13">
        <v>10000000</v>
      </c>
      <c r="F6" s="13">
        <v>9100000</v>
      </c>
      <c r="G6" s="13">
        <v>10400000</v>
      </c>
      <c r="H6" s="23">
        <v>0.88</v>
      </c>
      <c r="I6" s="23">
        <v>0.91</v>
      </c>
      <c r="J6" s="13">
        <v>17045454.550000001</v>
      </c>
      <c r="K6" s="13">
        <v>17767632.370000001</v>
      </c>
      <c r="L6" s="13">
        <v>17059142.210000001</v>
      </c>
      <c r="M6" s="13">
        <v>-2045454.55</v>
      </c>
      <c r="N6" s="23">
        <v>1.28</v>
      </c>
      <c r="O6" s="6" t="s">
        <v>406</v>
      </c>
    </row>
    <row r="7" spans="1:15" ht="16" x14ac:dyDescent="0.45">
      <c r="A7" s="7" t="s">
        <v>208</v>
      </c>
      <c r="B7" s="7" t="s">
        <v>821</v>
      </c>
      <c r="C7" s="7" t="s">
        <v>162</v>
      </c>
      <c r="D7" s="13">
        <v>18500000</v>
      </c>
      <c r="E7" s="13">
        <v>12000000</v>
      </c>
      <c r="F7" s="13">
        <v>12200000</v>
      </c>
      <c r="G7" s="13">
        <v>11800000</v>
      </c>
      <c r="H7" s="23">
        <v>1.03</v>
      </c>
      <c r="I7" s="23">
        <v>1.02</v>
      </c>
      <c r="J7" s="13">
        <v>17961165.050000001</v>
      </c>
      <c r="K7" s="13">
        <v>17796573.390000001</v>
      </c>
      <c r="L7" s="13">
        <v>17928404.670000002</v>
      </c>
      <c r="M7" s="13">
        <v>538834.94999999995</v>
      </c>
      <c r="N7" s="23">
        <v>0.94</v>
      </c>
      <c r="O7" s="6" t="s">
        <v>402</v>
      </c>
    </row>
    <row r="8" spans="1:15" ht="16" x14ac:dyDescent="0.45">
      <c r="A8" s="7" t="s">
        <v>208</v>
      </c>
      <c r="B8" s="7" t="s">
        <v>821</v>
      </c>
      <c r="C8" s="7" t="s">
        <v>164</v>
      </c>
      <c r="D8" s="13">
        <v>8200000</v>
      </c>
      <c r="E8" s="13">
        <v>6500000</v>
      </c>
      <c r="F8" s="13">
        <v>5200000</v>
      </c>
      <c r="G8" s="13">
        <v>6800000</v>
      </c>
      <c r="H8" s="23">
        <v>0.76</v>
      </c>
      <c r="I8" s="23">
        <v>0.8</v>
      </c>
      <c r="J8" s="13">
        <v>10789473.68</v>
      </c>
      <c r="K8" s="13">
        <v>11734210.529999999</v>
      </c>
      <c r="L8" s="13">
        <v>10706250</v>
      </c>
      <c r="M8" s="13">
        <v>-2589473.6800000002</v>
      </c>
      <c r="N8" s="23">
        <v>2.14</v>
      </c>
      <c r="O8" s="6" t="s">
        <v>406</v>
      </c>
    </row>
    <row r="9" spans="1:15" ht="16" x14ac:dyDescent="0.45">
      <c r="A9" s="7" t="s">
        <v>208</v>
      </c>
      <c r="B9" s="7" t="s">
        <v>821</v>
      </c>
      <c r="C9" s="7" t="s">
        <v>166</v>
      </c>
      <c r="D9" s="13">
        <v>45000000</v>
      </c>
      <c r="E9" s="13">
        <v>22500000</v>
      </c>
      <c r="F9" s="13">
        <v>21000000</v>
      </c>
      <c r="G9" s="13">
        <v>23100000</v>
      </c>
      <c r="H9" s="23">
        <v>0.91</v>
      </c>
      <c r="I9" s="23">
        <v>0.93</v>
      </c>
      <c r="J9" s="13">
        <v>49450549.450000003</v>
      </c>
      <c r="K9" s="13">
        <v>51458738.039999999</v>
      </c>
      <c r="L9" s="13">
        <v>49358205.689999998</v>
      </c>
      <c r="M9" s="13">
        <v>-4450549.45</v>
      </c>
      <c r="N9" s="23">
        <v>1.1000000000000001</v>
      </c>
      <c r="O9" s="6" t="s">
        <v>406</v>
      </c>
    </row>
  </sheetData>
  <conditionalFormatting sqref="M2:M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{7A8621E8-899F-418C-B376-BFBFEF9DC585}</x14:id>
        </ext>
      </extLst>
    </cfRule>
  </conditionalFormatting>
  <conditionalFormatting sqref="H2:I9">
    <cfRule type="iconSet" priority="2">
      <iconSet>
        <cfvo type="percent" val="0"/>
        <cfvo type="num" val="0.9"/>
        <cfvo type="num" val="1"/>
      </iconSet>
    </cfRule>
  </conditionalFormatting>
  <conditionalFormatting sqref="N2:N9">
    <cfRule type="iconSet" priority="3">
      <iconSet reverse="1">
        <cfvo type="percent" val="0"/>
        <cfvo type="num" val="1"/>
        <cfvo type="num" val="1.2"/>
      </iconSet>
    </cfRule>
  </conditionalFormatting>
  <conditionalFormatting sqref="O2:O9">
    <cfRule type="expression" dxfId="23" priority="4">
      <formula>$O2="ON TRACK"</formula>
    </cfRule>
  </conditionalFormatting>
  <conditionalFormatting sqref="O2:O9">
    <cfRule type="expression" dxfId="22" priority="5">
      <formula>$O2="WARNING"</formula>
    </cfRule>
  </conditionalFormatting>
  <conditionalFormatting sqref="O2:O9">
    <cfRule type="expression" dxfId="21" priority="6">
      <formula>$O2="CRITICAL"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8621E8-899F-418C-B376-BFBFEF9DC585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M2:M9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"/>
  <sheetViews>
    <sheetView workbookViewId="0"/>
  </sheetViews>
  <sheetFormatPr defaultRowHeight="14.5" x14ac:dyDescent="0.35"/>
  <cols>
    <col min="1" max="1" width="18" customWidth="1"/>
    <col min="2" max="2" width="12" customWidth="1"/>
    <col min="3" max="3" width="30" customWidth="1"/>
    <col min="4" max="4" width="19" customWidth="1"/>
    <col min="5" max="5" width="12" customWidth="1"/>
    <col min="6" max="6" width="16" customWidth="1"/>
    <col min="7" max="7" width="22" customWidth="1"/>
    <col min="8" max="8" width="57" customWidth="1"/>
    <col min="9" max="9" width="73" customWidth="1"/>
  </cols>
  <sheetData>
    <row r="1" spans="1:9" ht="16" x14ac:dyDescent="0.45">
      <c r="A1" s="4" t="s">
        <v>822</v>
      </c>
      <c r="B1" s="4" t="s">
        <v>823</v>
      </c>
      <c r="C1" s="4" t="s">
        <v>824</v>
      </c>
      <c r="D1" s="4" t="s">
        <v>825</v>
      </c>
      <c r="E1" s="4" t="s">
        <v>826</v>
      </c>
      <c r="F1" s="4" t="s">
        <v>827</v>
      </c>
      <c r="G1" s="4" t="s">
        <v>828</v>
      </c>
      <c r="H1" s="4" t="s">
        <v>829</v>
      </c>
      <c r="I1" s="4" t="s">
        <v>830</v>
      </c>
    </row>
    <row r="2" spans="1:9" ht="16" x14ac:dyDescent="0.45">
      <c r="A2" s="7" t="s">
        <v>831</v>
      </c>
      <c r="B2" s="7" t="s">
        <v>832</v>
      </c>
      <c r="C2" s="6" t="s">
        <v>833</v>
      </c>
      <c r="D2" s="34">
        <v>1450</v>
      </c>
      <c r="E2" s="7" t="s">
        <v>834</v>
      </c>
      <c r="F2" s="7" t="s">
        <v>835</v>
      </c>
      <c r="G2" s="66">
        <v>1</v>
      </c>
      <c r="H2" s="6" t="s">
        <v>309</v>
      </c>
      <c r="I2" s="6" t="str">
        <f>IF(E2=F2, "BRUDD: Egengodkjenning", IF(G2=0, "MANGLER BILAG", "OK"))</f>
        <v>OK</v>
      </c>
    </row>
    <row r="3" spans="1:9" ht="16" x14ac:dyDescent="0.45">
      <c r="A3" s="67" t="s">
        <v>836</v>
      </c>
      <c r="B3" s="67" t="s">
        <v>837</v>
      </c>
      <c r="C3" s="19" t="s">
        <v>838</v>
      </c>
      <c r="D3" s="72">
        <v>4200</v>
      </c>
      <c r="E3" s="67" t="s">
        <v>839</v>
      </c>
      <c r="F3" s="67" t="s">
        <v>839</v>
      </c>
      <c r="G3" s="69">
        <v>1</v>
      </c>
      <c r="H3" s="19" t="s">
        <v>840</v>
      </c>
      <c r="I3" s="18" t="str">
        <f>IF(E3=F3, "BRUDD: Egengodkjenning", IF(G3=0, "MANGLER BILAG", "OK"))</f>
        <v>BRUDD: Egengodkjenning</v>
      </c>
    </row>
    <row r="4" spans="1:9" ht="16" x14ac:dyDescent="0.45">
      <c r="A4" s="7" t="s">
        <v>841</v>
      </c>
      <c r="B4" s="7" t="s">
        <v>842</v>
      </c>
      <c r="C4" s="6" t="s">
        <v>843</v>
      </c>
      <c r="D4" s="34">
        <v>250</v>
      </c>
      <c r="E4" s="7" t="s">
        <v>834</v>
      </c>
      <c r="F4" s="7" t="s">
        <v>844</v>
      </c>
      <c r="G4" s="66">
        <v>0</v>
      </c>
      <c r="H4" s="6" t="s">
        <v>845</v>
      </c>
      <c r="I4" s="6" t="str">
        <f>IF(E4=F4, "BRUDD: Egengodkjenning", IF(G4=0, "MANGLER BILAG", "OK"))</f>
        <v>MANGLER BILAG</v>
      </c>
    </row>
    <row r="5" spans="1:9" ht="16" x14ac:dyDescent="0.45">
      <c r="A5" s="7" t="s">
        <v>846</v>
      </c>
      <c r="B5" s="7" t="s">
        <v>847</v>
      </c>
      <c r="C5" s="6" t="s">
        <v>848</v>
      </c>
      <c r="D5" s="34">
        <v>12500</v>
      </c>
      <c r="E5" s="7" t="s">
        <v>849</v>
      </c>
      <c r="F5" s="7" t="s">
        <v>850</v>
      </c>
      <c r="G5" s="66">
        <v>1</v>
      </c>
      <c r="H5" s="6" t="s">
        <v>851</v>
      </c>
      <c r="I5" s="6" t="str">
        <f>IF(E5=F5, "BRUDD: Egengodkjenning", IF(G5=0, "MANGLER BILAG", "OK"))</f>
        <v>OK</v>
      </c>
    </row>
    <row r="6" spans="1:9" ht="16" x14ac:dyDescent="0.45">
      <c r="A6" s="7" t="s">
        <v>852</v>
      </c>
      <c r="B6" s="7" t="s">
        <v>853</v>
      </c>
      <c r="C6" s="6" t="s">
        <v>854</v>
      </c>
      <c r="D6" s="34">
        <v>18500</v>
      </c>
      <c r="E6" s="7" t="s">
        <v>834</v>
      </c>
      <c r="F6" s="7" t="s">
        <v>835</v>
      </c>
      <c r="G6" s="66">
        <v>1</v>
      </c>
      <c r="H6" s="6" t="s">
        <v>855</v>
      </c>
      <c r="I6" s="6" t="str">
        <f>IF(E6=F6, "BRUDD: Egengodkjenning", IF(G6=0, "MANGLER BILAG", "OK"))</f>
        <v>OK</v>
      </c>
    </row>
  </sheetData>
  <conditionalFormatting sqref="D2:D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{1DE2C68C-5EB7-4D2D-9AAD-ABA89CF71A1F}</x14:id>
        </ext>
      </extLst>
    </cfRule>
  </conditionalFormatting>
  <conditionalFormatting sqref="I2:I6">
    <cfRule type="expression" dxfId="20" priority="2">
      <formula>$I2="OK"</formula>
    </cfRule>
  </conditionalFormatting>
  <conditionalFormatting sqref="I2:I6">
    <cfRule type="expression" dxfId="19" priority="3">
      <formula>$I2&lt;&gt;"OK"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E2C68C-5EB7-4D2D-9AAD-ABA89CF71A1F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D2:D6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6"/>
  <sheetViews>
    <sheetView workbookViewId="0"/>
  </sheetViews>
  <sheetFormatPr defaultRowHeight="14.5" x14ac:dyDescent="0.35"/>
  <cols>
    <col min="1" max="2" width="18" customWidth="1"/>
    <col min="3" max="3" width="14" customWidth="1"/>
    <col min="4" max="4" width="43" customWidth="1"/>
    <col min="5" max="5" width="18" customWidth="1"/>
    <col min="6" max="6" width="26" customWidth="1"/>
    <col min="7" max="7" width="18" customWidth="1"/>
    <col min="8" max="9" width="14" customWidth="1"/>
    <col min="10" max="10" width="12" customWidth="1"/>
    <col min="11" max="11" width="16" customWidth="1"/>
    <col min="12" max="12" width="107" customWidth="1"/>
    <col min="13" max="13" width="16" customWidth="1"/>
    <col min="14" max="14" width="20" customWidth="1"/>
  </cols>
  <sheetData>
    <row r="1" spans="1:14" ht="16" x14ac:dyDescent="0.45">
      <c r="A1" s="4" t="s">
        <v>273</v>
      </c>
      <c r="B1" s="4" t="s">
        <v>274</v>
      </c>
      <c r="C1" s="4" t="s">
        <v>275</v>
      </c>
      <c r="D1" s="4" t="s">
        <v>276</v>
      </c>
      <c r="E1" s="4" t="s">
        <v>219</v>
      </c>
      <c r="F1" s="4" t="s">
        <v>277</v>
      </c>
      <c r="G1" s="4" t="s">
        <v>278</v>
      </c>
      <c r="H1" s="4" t="s">
        <v>279</v>
      </c>
      <c r="I1" s="4" t="s">
        <v>280</v>
      </c>
      <c r="J1" s="4" t="s">
        <v>281</v>
      </c>
      <c r="K1" s="4" t="s">
        <v>282</v>
      </c>
      <c r="L1" s="4" t="s">
        <v>283</v>
      </c>
      <c r="M1" s="4" t="s">
        <v>284</v>
      </c>
      <c r="N1" s="4" t="s">
        <v>285</v>
      </c>
    </row>
    <row r="2" spans="1:14" ht="16" x14ac:dyDescent="0.45">
      <c r="A2" s="7" t="s">
        <v>286</v>
      </c>
      <c r="B2" s="6" t="s">
        <v>287</v>
      </c>
      <c r="C2" s="7" t="s">
        <v>288</v>
      </c>
      <c r="D2" s="6" t="s">
        <v>289</v>
      </c>
      <c r="E2" s="65">
        <v>3450</v>
      </c>
      <c r="F2" s="6" t="s">
        <v>290</v>
      </c>
      <c r="G2" s="6" t="s">
        <v>291</v>
      </c>
      <c r="H2" s="66">
        <v>0</v>
      </c>
      <c r="I2" s="6" t="s">
        <v>291</v>
      </c>
      <c r="J2" s="7" t="s">
        <v>292</v>
      </c>
      <c r="K2" s="7" t="s">
        <v>293</v>
      </c>
      <c r="L2" s="6" t="s">
        <v>294</v>
      </c>
      <c r="M2" s="14" t="s">
        <v>295</v>
      </c>
      <c r="N2" s="14" t="s">
        <v>296</v>
      </c>
    </row>
    <row r="3" spans="1:14" ht="16" x14ac:dyDescent="0.45">
      <c r="A3" s="67" t="s">
        <v>297</v>
      </c>
      <c r="B3" s="19" t="s">
        <v>298</v>
      </c>
      <c r="C3" s="67" t="s">
        <v>299</v>
      </c>
      <c r="D3" s="19" t="s">
        <v>300</v>
      </c>
      <c r="E3" s="68">
        <v>2100</v>
      </c>
      <c r="F3" s="19" t="s">
        <v>301</v>
      </c>
      <c r="G3" s="19" t="s">
        <v>296</v>
      </c>
      <c r="H3" s="69">
        <v>0</v>
      </c>
      <c r="I3" s="19" t="s">
        <v>291</v>
      </c>
      <c r="J3" s="67" t="s">
        <v>302</v>
      </c>
      <c r="K3" s="67" t="s">
        <v>303</v>
      </c>
      <c r="L3" s="18" t="s">
        <v>304</v>
      </c>
      <c r="M3" s="18" t="s">
        <v>305</v>
      </c>
      <c r="N3" s="18" t="s">
        <v>291</v>
      </c>
    </row>
    <row r="4" spans="1:14" ht="16" x14ac:dyDescent="0.45">
      <c r="A4" s="7" t="s">
        <v>306</v>
      </c>
      <c r="B4" s="6" t="s">
        <v>307</v>
      </c>
      <c r="C4" s="7" t="s">
        <v>308</v>
      </c>
      <c r="D4" s="6" t="s">
        <v>309</v>
      </c>
      <c r="E4" s="65">
        <v>850</v>
      </c>
      <c r="F4" s="6" t="s">
        <v>310</v>
      </c>
      <c r="G4" s="6" t="s">
        <v>291</v>
      </c>
      <c r="H4" s="66">
        <v>180</v>
      </c>
      <c r="I4" s="6" t="s">
        <v>291</v>
      </c>
      <c r="J4" s="7" t="s">
        <v>311</v>
      </c>
      <c r="K4" s="7" t="s">
        <v>312</v>
      </c>
      <c r="L4" s="6" t="s">
        <v>294</v>
      </c>
      <c r="M4" s="14" t="s">
        <v>295</v>
      </c>
      <c r="N4" s="14" t="s">
        <v>296</v>
      </c>
    </row>
    <row r="5" spans="1:14" ht="16" x14ac:dyDescent="0.45">
      <c r="A5" s="67" t="s">
        <v>313</v>
      </c>
      <c r="B5" s="19" t="s">
        <v>314</v>
      </c>
      <c r="C5" s="67" t="s">
        <v>315</v>
      </c>
      <c r="D5" s="19" t="s">
        <v>316</v>
      </c>
      <c r="E5" s="68">
        <v>4800</v>
      </c>
      <c r="F5" s="19" t="s">
        <v>317</v>
      </c>
      <c r="G5" s="19" t="s">
        <v>291</v>
      </c>
      <c r="H5" s="69">
        <v>0</v>
      </c>
      <c r="I5" s="19" t="s">
        <v>291</v>
      </c>
      <c r="J5" s="67" t="s">
        <v>318</v>
      </c>
      <c r="K5" s="67" t="s">
        <v>318</v>
      </c>
      <c r="L5" s="18" t="s">
        <v>319</v>
      </c>
      <c r="M5" s="18" t="s">
        <v>305</v>
      </c>
      <c r="N5" s="18" t="s">
        <v>291</v>
      </c>
    </row>
    <row r="6" spans="1:14" ht="16" x14ac:dyDescent="0.45">
      <c r="A6" s="67" t="s">
        <v>320</v>
      </c>
      <c r="B6" s="19" t="s">
        <v>321</v>
      </c>
      <c r="C6" s="67" t="s">
        <v>322</v>
      </c>
      <c r="D6" s="19" t="s">
        <v>323</v>
      </c>
      <c r="E6" s="68">
        <v>3200</v>
      </c>
      <c r="F6" s="19" t="s">
        <v>324</v>
      </c>
      <c r="G6" s="19" t="s">
        <v>296</v>
      </c>
      <c r="H6" s="69">
        <v>0</v>
      </c>
      <c r="I6" s="19" t="s">
        <v>291</v>
      </c>
      <c r="J6" s="67" t="s">
        <v>325</v>
      </c>
      <c r="K6" s="67" t="s">
        <v>326</v>
      </c>
      <c r="L6" s="18" t="s">
        <v>327</v>
      </c>
      <c r="M6" s="18" t="s">
        <v>305</v>
      </c>
      <c r="N6" s="18" t="s">
        <v>291</v>
      </c>
    </row>
    <row r="7" spans="1:14" ht="16" x14ac:dyDescent="0.45">
      <c r="A7" s="67" t="s">
        <v>328</v>
      </c>
      <c r="B7" s="19" t="s">
        <v>329</v>
      </c>
      <c r="C7" s="67" t="s">
        <v>330</v>
      </c>
      <c r="D7" s="19" t="s">
        <v>331</v>
      </c>
      <c r="E7" s="68">
        <v>450</v>
      </c>
      <c r="F7" s="19" t="s">
        <v>310</v>
      </c>
      <c r="G7" s="19" t="s">
        <v>291</v>
      </c>
      <c r="H7" s="69">
        <v>65</v>
      </c>
      <c r="I7" s="19" t="s">
        <v>291</v>
      </c>
      <c r="J7" s="67" t="s">
        <v>332</v>
      </c>
      <c r="K7" s="67" t="s">
        <v>333</v>
      </c>
      <c r="L7" s="18" t="s">
        <v>334</v>
      </c>
      <c r="M7" s="18" t="s">
        <v>305</v>
      </c>
      <c r="N7" s="18" t="s">
        <v>291</v>
      </c>
    </row>
    <row r="8" spans="1:14" ht="16" x14ac:dyDescent="0.45">
      <c r="A8" s="67" t="s">
        <v>335</v>
      </c>
      <c r="B8" s="19" t="s">
        <v>336</v>
      </c>
      <c r="C8" s="67" t="s">
        <v>337</v>
      </c>
      <c r="D8" s="19" t="s">
        <v>338</v>
      </c>
      <c r="E8" s="68">
        <v>620</v>
      </c>
      <c r="F8" s="19" t="s">
        <v>310</v>
      </c>
      <c r="G8" s="19" t="s">
        <v>291</v>
      </c>
      <c r="H8" s="69">
        <v>0</v>
      </c>
      <c r="I8" s="19" t="s">
        <v>296</v>
      </c>
      <c r="J8" s="67" t="s">
        <v>339</v>
      </c>
      <c r="K8" s="67" t="s">
        <v>340</v>
      </c>
      <c r="L8" s="18" t="s">
        <v>341</v>
      </c>
      <c r="M8" s="18" t="s">
        <v>305</v>
      </c>
      <c r="N8" s="18" t="s">
        <v>291</v>
      </c>
    </row>
    <row r="9" spans="1:14" ht="16" x14ac:dyDescent="0.45">
      <c r="A9" s="7" t="s">
        <v>342</v>
      </c>
      <c r="B9" s="6" t="s">
        <v>343</v>
      </c>
      <c r="C9" s="7" t="s">
        <v>344</v>
      </c>
      <c r="D9" s="6" t="s">
        <v>345</v>
      </c>
      <c r="E9" s="65">
        <v>8900</v>
      </c>
      <c r="F9" s="6" t="s">
        <v>346</v>
      </c>
      <c r="G9" s="6" t="s">
        <v>291</v>
      </c>
      <c r="H9" s="66">
        <v>0</v>
      </c>
      <c r="I9" s="6" t="s">
        <v>291</v>
      </c>
      <c r="J9" s="7" t="s">
        <v>347</v>
      </c>
      <c r="K9" s="7" t="s">
        <v>348</v>
      </c>
      <c r="L9" s="6" t="s">
        <v>294</v>
      </c>
      <c r="M9" s="14" t="s">
        <v>295</v>
      </c>
      <c r="N9" s="14" t="s">
        <v>296</v>
      </c>
    </row>
    <row r="10" spans="1:14" ht="16" x14ac:dyDescent="0.45">
      <c r="A10" s="7" t="s">
        <v>349</v>
      </c>
      <c r="B10" s="6" t="s">
        <v>350</v>
      </c>
      <c r="C10" s="7" t="s">
        <v>351</v>
      </c>
      <c r="D10" s="6" t="s">
        <v>352</v>
      </c>
      <c r="E10" s="65">
        <v>310</v>
      </c>
      <c r="F10" s="6" t="s">
        <v>310</v>
      </c>
      <c r="G10" s="6" t="s">
        <v>291</v>
      </c>
      <c r="H10" s="66">
        <v>0</v>
      </c>
      <c r="I10" s="6" t="s">
        <v>291</v>
      </c>
      <c r="J10" s="7" t="s">
        <v>353</v>
      </c>
      <c r="K10" s="7" t="s">
        <v>354</v>
      </c>
      <c r="L10" s="6" t="s">
        <v>294</v>
      </c>
      <c r="M10" s="14" t="s">
        <v>295</v>
      </c>
      <c r="N10" s="14" t="s">
        <v>296</v>
      </c>
    </row>
    <row r="11" spans="1:14" ht="16" x14ac:dyDescent="0.45">
      <c r="A11" s="7" t="s">
        <v>355</v>
      </c>
      <c r="B11" s="6" t="s">
        <v>356</v>
      </c>
      <c r="C11" s="7" t="s">
        <v>357</v>
      </c>
      <c r="D11" s="6" t="s">
        <v>358</v>
      </c>
      <c r="E11" s="65">
        <v>2750</v>
      </c>
      <c r="F11" s="6" t="s">
        <v>290</v>
      </c>
      <c r="G11" s="6" t="s">
        <v>291</v>
      </c>
      <c r="H11" s="66">
        <v>0</v>
      </c>
      <c r="I11" s="6" t="s">
        <v>291</v>
      </c>
      <c r="J11" s="7" t="s">
        <v>359</v>
      </c>
      <c r="K11" s="7" t="s">
        <v>360</v>
      </c>
      <c r="L11" s="6" t="s">
        <v>294</v>
      </c>
      <c r="M11" s="14" t="s">
        <v>295</v>
      </c>
      <c r="N11" s="14" t="s">
        <v>296</v>
      </c>
    </row>
    <row r="12" spans="1:14" ht="16" x14ac:dyDescent="0.45">
      <c r="A12" s="67" t="s">
        <v>361</v>
      </c>
      <c r="B12" s="19" t="s">
        <v>362</v>
      </c>
      <c r="C12" s="67" t="s">
        <v>363</v>
      </c>
      <c r="D12" s="19" t="s">
        <v>364</v>
      </c>
      <c r="E12" s="68">
        <v>1850</v>
      </c>
      <c r="F12" s="19" t="s">
        <v>301</v>
      </c>
      <c r="G12" s="19" t="s">
        <v>291</v>
      </c>
      <c r="H12" s="69">
        <v>0</v>
      </c>
      <c r="I12" s="19" t="s">
        <v>296</v>
      </c>
      <c r="J12" s="67" t="s">
        <v>365</v>
      </c>
      <c r="K12" s="67" t="s">
        <v>366</v>
      </c>
      <c r="L12" s="18" t="s">
        <v>341</v>
      </c>
      <c r="M12" s="18" t="s">
        <v>305</v>
      </c>
      <c r="N12" s="18" t="s">
        <v>291</v>
      </c>
    </row>
    <row r="13" spans="1:14" ht="16" x14ac:dyDescent="0.45">
      <c r="A13" s="7" t="s">
        <v>367</v>
      </c>
      <c r="B13" s="6" t="s">
        <v>368</v>
      </c>
      <c r="C13" s="7" t="s">
        <v>369</v>
      </c>
      <c r="D13" s="6" t="s">
        <v>370</v>
      </c>
      <c r="E13" s="65">
        <v>3900</v>
      </c>
      <c r="F13" s="6" t="s">
        <v>371</v>
      </c>
      <c r="G13" s="6" t="s">
        <v>291</v>
      </c>
      <c r="H13" s="66">
        <v>0</v>
      </c>
      <c r="I13" s="6" t="s">
        <v>291</v>
      </c>
      <c r="J13" s="7" t="s">
        <v>372</v>
      </c>
      <c r="K13" s="7" t="s">
        <v>373</v>
      </c>
      <c r="L13" s="6" t="s">
        <v>294</v>
      </c>
      <c r="M13" s="14" t="s">
        <v>295</v>
      </c>
      <c r="N13" s="14" t="s">
        <v>296</v>
      </c>
    </row>
    <row r="14" spans="1:14" ht="16" x14ac:dyDescent="0.45">
      <c r="A14" s="7" t="s">
        <v>374</v>
      </c>
      <c r="B14" s="6" t="s">
        <v>375</v>
      </c>
      <c r="C14" s="7" t="s">
        <v>376</v>
      </c>
      <c r="D14" s="6" t="s">
        <v>377</v>
      </c>
      <c r="E14" s="65">
        <v>420</v>
      </c>
      <c r="F14" s="6" t="s">
        <v>310</v>
      </c>
      <c r="G14" s="6" t="s">
        <v>291</v>
      </c>
      <c r="H14" s="66">
        <v>90</v>
      </c>
      <c r="I14" s="6" t="s">
        <v>291</v>
      </c>
      <c r="J14" s="7" t="s">
        <v>378</v>
      </c>
      <c r="K14" s="7" t="s">
        <v>379</v>
      </c>
      <c r="L14" s="6" t="s">
        <v>294</v>
      </c>
      <c r="M14" s="14" t="s">
        <v>295</v>
      </c>
      <c r="N14" s="14" t="s">
        <v>296</v>
      </c>
    </row>
    <row r="15" spans="1:14" ht="16" x14ac:dyDescent="0.45">
      <c r="A15" s="67" t="s">
        <v>380</v>
      </c>
      <c r="B15" s="19" t="s">
        <v>381</v>
      </c>
      <c r="C15" s="67" t="s">
        <v>382</v>
      </c>
      <c r="D15" s="19" t="s">
        <v>383</v>
      </c>
      <c r="E15" s="68">
        <v>6400</v>
      </c>
      <c r="F15" s="19" t="s">
        <v>346</v>
      </c>
      <c r="G15" s="19" t="s">
        <v>291</v>
      </c>
      <c r="H15" s="69">
        <v>0</v>
      </c>
      <c r="I15" s="19" t="s">
        <v>291</v>
      </c>
      <c r="J15" s="67" t="s">
        <v>384</v>
      </c>
      <c r="K15" s="67" t="s">
        <v>384</v>
      </c>
      <c r="L15" s="18" t="s">
        <v>319</v>
      </c>
      <c r="M15" s="18" t="s">
        <v>305</v>
      </c>
      <c r="N15" s="18" t="s">
        <v>291</v>
      </c>
    </row>
    <row r="16" spans="1:14" ht="16" x14ac:dyDescent="0.45">
      <c r="A16" s="7" t="s">
        <v>385</v>
      </c>
      <c r="B16" s="6" t="s">
        <v>386</v>
      </c>
      <c r="C16" s="7" t="s">
        <v>387</v>
      </c>
      <c r="D16" s="6" t="s">
        <v>388</v>
      </c>
      <c r="E16" s="65">
        <v>850</v>
      </c>
      <c r="F16" s="6" t="s">
        <v>310</v>
      </c>
      <c r="G16" s="6" t="s">
        <v>291</v>
      </c>
      <c r="H16" s="66">
        <v>0</v>
      </c>
      <c r="I16" s="6" t="s">
        <v>291</v>
      </c>
      <c r="J16" s="7" t="s">
        <v>389</v>
      </c>
      <c r="K16" s="7" t="s">
        <v>390</v>
      </c>
      <c r="L16" s="6" t="s">
        <v>294</v>
      </c>
      <c r="M16" s="14" t="s">
        <v>295</v>
      </c>
      <c r="N16" s="14" t="s">
        <v>296</v>
      </c>
    </row>
  </sheetData>
  <conditionalFormatting sqref="E2:E1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{B4B830C7-DD92-4CD4-82AC-F5A13242A09E}</x14:id>
        </ext>
      </extLst>
    </cfRule>
  </conditionalFormatting>
  <conditionalFormatting sqref="M2:M16">
    <cfRule type="expression" dxfId="18" priority="2">
      <formula>$M2="APPROVED"</formula>
    </cfRule>
  </conditionalFormatting>
  <conditionalFormatting sqref="M2:M16">
    <cfRule type="expression" dxfId="17" priority="3">
      <formula>$M2="FLAGGED"</formula>
    </cfRule>
  </conditionalFormatting>
  <conditionalFormatting sqref="N2:N16">
    <cfRule type="expression" dxfId="16" priority="4">
      <formula>$N2="NEI"</formula>
    </cfRule>
  </conditionalFormatting>
  <conditionalFormatting sqref="N2:N16">
    <cfRule type="expression" dxfId="15" priority="5">
      <formula>$N2="JA"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B830C7-DD92-4CD4-82AC-F5A13242A09E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E2:E16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7"/>
  <sheetViews>
    <sheetView workbookViewId="0"/>
  </sheetViews>
  <sheetFormatPr defaultRowHeight="14.5" x14ac:dyDescent="0.35"/>
  <cols>
    <col min="1" max="1" width="13" customWidth="1"/>
    <col min="2" max="2" width="42" customWidth="1"/>
    <col min="3" max="3" width="21" customWidth="1"/>
    <col min="4" max="4" width="22" customWidth="1"/>
    <col min="5" max="5" width="20" customWidth="1"/>
    <col min="6" max="9" width="19" customWidth="1"/>
    <col min="10" max="10" width="18" customWidth="1"/>
    <col min="11" max="12" width="19" customWidth="1"/>
    <col min="13" max="13" width="16" customWidth="1"/>
    <col min="14" max="14" width="12" customWidth="1"/>
    <col min="15" max="15" width="21" customWidth="1"/>
    <col min="16" max="16" width="17" customWidth="1"/>
    <col min="17" max="17" width="40" customWidth="1"/>
    <col min="18" max="18" width="90" customWidth="1"/>
  </cols>
  <sheetData>
    <row r="1" spans="1:18" ht="16" x14ac:dyDescent="0.45">
      <c r="A1" s="4" t="s">
        <v>856</v>
      </c>
      <c r="B1" s="4" t="s">
        <v>145</v>
      </c>
      <c r="C1" s="4" t="s">
        <v>857</v>
      </c>
      <c r="D1" s="4" t="s">
        <v>858</v>
      </c>
      <c r="E1" s="4" t="s">
        <v>859</v>
      </c>
      <c r="F1" s="4" t="s">
        <v>860</v>
      </c>
      <c r="G1" s="4" t="s">
        <v>861</v>
      </c>
      <c r="H1" s="4" t="s">
        <v>862</v>
      </c>
      <c r="I1" s="4" t="s">
        <v>863</v>
      </c>
      <c r="J1" s="4" t="s">
        <v>864</v>
      </c>
      <c r="K1" s="4" t="s">
        <v>865</v>
      </c>
      <c r="L1" s="4" t="s">
        <v>866</v>
      </c>
      <c r="M1" s="4" t="s">
        <v>867</v>
      </c>
      <c r="N1" s="4" t="s">
        <v>868</v>
      </c>
      <c r="O1" s="4" t="s">
        <v>869</v>
      </c>
      <c r="P1" s="4" t="s">
        <v>870</v>
      </c>
      <c r="Q1" s="4" t="s">
        <v>871</v>
      </c>
      <c r="R1" s="4" t="s">
        <v>872</v>
      </c>
    </row>
    <row r="2" spans="1:18" ht="16" x14ac:dyDescent="0.45">
      <c r="A2" s="6" t="s">
        <v>168</v>
      </c>
      <c r="B2" s="6" t="s">
        <v>169</v>
      </c>
      <c r="C2" s="6" t="s">
        <v>873</v>
      </c>
      <c r="D2" s="6" t="s">
        <v>874</v>
      </c>
      <c r="E2" s="13">
        <v>12000000</v>
      </c>
      <c r="F2" s="13">
        <v>4000000</v>
      </c>
      <c r="G2" s="13">
        <v>1800000</v>
      </c>
      <c r="H2" s="13">
        <v>1100000</v>
      </c>
      <c r="I2" s="13">
        <v>880000</v>
      </c>
      <c r="J2" s="13">
        <v>220000</v>
      </c>
      <c r="K2" s="13">
        <v>1680000</v>
      </c>
      <c r="L2" s="13">
        <v>1680000</v>
      </c>
      <c r="M2" s="71">
        <v>0.22</v>
      </c>
      <c r="N2" s="71">
        <v>0.65</v>
      </c>
      <c r="O2" s="71">
        <v>0.42</v>
      </c>
      <c r="P2" s="73">
        <v>-0.23</v>
      </c>
      <c r="Q2" s="6" t="s">
        <v>875</v>
      </c>
      <c r="R2" s="6" t="s">
        <v>876</v>
      </c>
    </row>
    <row r="3" spans="1:18" ht="16" x14ac:dyDescent="0.45">
      <c r="A3" s="6" t="s">
        <v>170</v>
      </c>
      <c r="B3" s="6" t="s">
        <v>171</v>
      </c>
      <c r="C3" s="6" t="s">
        <v>873</v>
      </c>
      <c r="D3" s="6" t="s">
        <v>874</v>
      </c>
      <c r="E3" s="13">
        <v>8500000</v>
      </c>
      <c r="F3" s="13">
        <v>2800000</v>
      </c>
      <c r="G3" s="13">
        <v>1300000</v>
      </c>
      <c r="H3" s="13">
        <v>800000</v>
      </c>
      <c r="I3" s="13">
        <v>616000</v>
      </c>
      <c r="J3" s="13">
        <v>84000</v>
      </c>
      <c r="K3" s="13">
        <v>1450000</v>
      </c>
      <c r="L3" s="13">
        <v>1450000</v>
      </c>
      <c r="M3" s="71">
        <v>0.22</v>
      </c>
      <c r="N3" s="71">
        <v>0.52</v>
      </c>
      <c r="O3" s="71">
        <v>0.51800000000000002</v>
      </c>
      <c r="P3" s="73">
        <v>-2E-3</v>
      </c>
      <c r="Q3" s="6" t="s">
        <v>877</v>
      </c>
      <c r="R3" s="6" t="s">
        <v>878</v>
      </c>
    </row>
    <row r="4" spans="1:18" ht="16" x14ac:dyDescent="0.45">
      <c r="A4" s="6" t="s">
        <v>172</v>
      </c>
      <c r="B4" s="6" t="s">
        <v>173</v>
      </c>
      <c r="C4" s="6" t="s">
        <v>873</v>
      </c>
      <c r="D4" s="6" t="s">
        <v>879</v>
      </c>
      <c r="E4" s="13">
        <v>18500000</v>
      </c>
      <c r="F4" s="13">
        <v>6200000</v>
      </c>
      <c r="G4" s="13">
        <v>2800000</v>
      </c>
      <c r="H4" s="13">
        <v>1800000</v>
      </c>
      <c r="I4" s="13">
        <v>1364000</v>
      </c>
      <c r="J4" s="13">
        <v>236000</v>
      </c>
      <c r="K4" s="13">
        <v>3100000</v>
      </c>
      <c r="L4" s="13">
        <v>3100000</v>
      </c>
      <c r="M4" s="71">
        <v>0.22</v>
      </c>
      <c r="N4" s="71">
        <v>0.5</v>
      </c>
      <c r="O4" s="71">
        <v>0.5</v>
      </c>
      <c r="P4" s="73">
        <v>0</v>
      </c>
      <c r="Q4" s="6" t="s">
        <v>877</v>
      </c>
      <c r="R4" s="6" t="s">
        <v>880</v>
      </c>
    </row>
    <row r="5" spans="1:18" ht="16" x14ac:dyDescent="0.45">
      <c r="A5" s="6" t="s">
        <v>174</v>
      </c>
      <c r="B5" s="6" t="s">
        <v>175</v>
      </c>
      <c r="C5" s="6" t="s">
        <v>873</v>
      </c>
      <c r="D5" s="6" t="s">
        <v>879</v>
      </c>
      <c r="E5" s="13">
        <v>14000000</v>
      </c>
      <c r="F5" s="13">
        <v>4500000</v>
      </c>
      <c r="G5" s="13">
        <v>2100000</v>
      </c>
      <c r="H5" s="13">
        <v>1200000</v>
      </c>
      <c r="I5" s="13">
        <v>990000</v>
      </c>
      <c r="J5" s="13">
        <v>210000</v>
      </c>
      <c r="K5" s="13">
        <v>2150000</v>
      </c>
      <c r="L5" s="13">
        <v>2150000</v>
      </c>
      <c r="M5" s="71">
        <v>0.22</v>
      </c>
      <c r="N5" s="71">
        <v>0.48</v>
      </c>
      <c r="O5" s="71">
        <v>0.47799999999999998</v>
      </c>
      <c r="P5" s="73">
        <v>-2E-3</v>
      </c>
      <c r="Q5" s="6" t="s">
        <v>877</v>
      </c>
      <c r="R5" s="6" t="s">
        <v>881</v>
      </c>
    </row>
    <row r="6" spans="1:18" ht="16" x14ac:dyDescent="0.45">
      <c r="A6" s="6" t="s">
        <v>176</v>
      </c>
      <c r="B6" s="6" t="s">
        <v>177</v>
      </c>
      <c r="C6" s="6" t="s">
        <v>882</v>
      </c>
      <c r="D6" s="6" t="s">
        <v>883</v>
      </c>
      <c r="E6" s="13">
        <v>3500000</v>
      </c>
      <c r="F6" s="13">
        <v>1200000</v>
      </c>
      <c r="G6" s="13">
        <v>450000</v>
      </c>
      <c r="H6" s="13">
        <v>450000</v>
      </c>
      <c r="I6" s="13">
        <v>300000</v>
      </c>
      <c r="J6" s="73">
        <v>0</v>
      </c>
      <c r="K6" s="13">
        <v>864000</v>
      </c>
      <c r="L6" s="13">
        <v>600000</v>
      </c>
      <c r="M6" s="71">
        <v>0.25</v>
      </c>
      <c r="N6" s="71">
        <v>0.5</v>
      </c>
      <c r="O6" s="71">
        <v>0.72</v>
      </c>
      <c r="P6" s="73">
        <v>0.22</v>
      </c>
      <c r="Q6" s="6" t="s">
        <v>884</v>
      </c>
      <c r="R6" s="6" t="s">
        <v>885</v>
      </c>
    </row>
    <row r="7" spans="1:18" ht="16" x14ac:dyDescent="0.45">
      <c r="A7" s="6" t="s">
        <v>178</v>
      </c>
      <c r="B7" s="6" t="s">
        <v>179</v>
      </c>
      <c r="C7" s="6" t="s">
        <v>882</v>
      </c>
      <c r="D7" s="6" t="s">
        <v>886</v>
      </c>
      <c r="E7" s="13">
        <v>5000000</v>
      </c>
      <c r="F7" s="13">
        <v>1800000</v>
      </c>
      <c r="G7" s="13">
        <v>750000</v>
      </c>
      <c r="H7" s="13">
        <v>550000</v>
      </c>
      <c r="I7" s="13">
        <v>450000</v>
      </c>
      <c r="J7" s="13">
        <v>50000</v>
      </c>
      <c r="K7" s="13">
        <v>890000</v>
      </c>
      <c r="L7" s="13">
        <v>890000</v>
      </c>
      <c r="M7" s="71">
        <v>0.25</v>
      </c>
      <c r="N7" s="71">
        <v>0.5</v>
      </c>
      <c r="O7" s="71">
        <v>0.49399999999999999</v>
      </c>
      <c r="P7" s="73">
        <v>-6.0000000000000001E-3</v>
      </c>
      <c r="Q7" s="6" t="s">
        <v>877</v>
      </c>
      <c r="R7" s="6" t="s">
        <v>887</v>
      </c>
    </row>
  </sheetData>
  <conditionalFormatting sqref="E2:E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{ABE6A465-7901-46B3-8C33-2BB23A8635F5}</x14:id>
        </ext>
      </extLst>
    </cfRule>
  </conditionalFormatting>
  <conditionalFormatting sqref="K2:L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{15904C07-0BDB-4475-9AC4-3A879061076D}</x14:id>
        </ext>
      </extLst>
    </cfRule>
  </conditionalFormatting>
  <conditionalFormatting sqref="Q2:Q7">
    <cfRule type="expression" dxfId="14" priority="3">
      <formula>LEFT($Q2,5)="GRØNN"</formula>
    </cfRule>
  </conditionalFormatting>
  <conditionalFormatting sqref="Q2:Q7">
    <cfRule type="expression" dxfId="13" priority="4">
      <formula>LEFT($Q2,3)="GUL"</formula>
    </cfRule>
  </conditionalFormatting>
  <conditionalFormatting sqref="Q2:Q7">
    <cfRule type="expression" dxfId="12" priority="5">
      <formula>LEFT($Q2,3)="RØD"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E6A465-7901-46B3-8C33-2BB23A8635F5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E2:E7</xm:sqref>
        </x14:conditionalFormatting>
        <x14:conditionalFormatting xmlns:xm="http://schemas.microsoft.com/office/excel/2006/main">
          <x14:cfRule type="dataBar" id="{15904C07-0BDB-4475-9AC4-3A879061076D}">
            <x14:dataBar minLength="0" maxLength="100" border="1" negativeBarBorderColorSameAsPositive="0" axisPosition="none">
              <x14:cfvo type="min"/>
              <x14:cfvo type="max"/>
              <x14:borderColor rgb="FF000000"/>
              <x14:negativeFillColor rgb="FFC00000"/>
              <x14:negativeBorderColor rgb="FFC00000"/>
            </x14:dataBar>
          </x14:cfRule>
          <xm:sqref>K2:L7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30"/>
  <sheetViews>
    <sheetView workbookViewId="0"/>
  </sheetViews>
  <sheetFormatPr defaultRowHeight="14.5" x14ac:dyDescent="0.35"/>
  <cols>
    <col min="1" max="1" width="12" customWidth="1"/>
    <col min="2" max="2" width="18" customWidth="1"/>
    <col min="3" max="3" width="51" customWidth="1"/>
    <col min="4" max="5" width="15" customWidth="1"/>
    <col min="6" max="6" width="20" customWidth="1"/>
    <col min="7" max="7" width="31" customWidth="1"/>
    <col min="8" max="8" width="14" customWidth="1"/>
  </cols>
  <sheetData>
    <row r="1" spans="1:8" ht="16" x14ac:dyDescent="0.45">
      <c r="A1" s="4" t="s">
        <v>888</v>
      </c>
      <c r="B1" s="4" t="s">
        <v>889</v>
      </c>
      <c r="C1" s="4" t="s">
        <v>890</v>
      </c>
      <c r="D1" s="4" t="s">
        <v>891</v>
      </c>
      <c r="E1" s="4" t="s">
        <v>892</v>
      </c>
      <c r="F1" s="4" t="s">
        <v>893</v>
      </c>
      <c r="G1" s="4" t="s">
        <v>894</v>
      </c>
      <c r="H1" s="4" t="s">
        <v>895</v>
      </c>
    </row>
    <row r="2" spans="1:8" ht="16" x14ac:dyDescent="0.45">
      <c r="A2" s="33">
        <v>1250</v>
      </c>
      <c r="B2" s="33">
        <v>125</v>
      </c>
      <c r="C2" s="6" t="s">
        <v>896</v>
      </c>
      <c r="D2" s="6">
        <v>1</v>
      </c>
      <c r="E2" s="6">
        <v>12</v>
      </c>
      <c r="F2" s="6" t="s">
        <v>897</v>
      </c>
      <c r="G2" s="6" t="s">
        <v>898</v>
      </c>
      <c r="H2" s="6" t="s">
        <v>899</v>
      </c>
    </row>
    <row r="3" spans="1:8" ht="16" x14ac:dyDescent="0.45">
      <c r="A3" s="33">
        <v>2050</v>
      </c>
      <c r="B3" s="33">
        <v>205</v>
      </c>
      <c r="C3" s="6" t="s">
        <v>900</v>
      </c>
      <c r="D3" s="6">
        <v>2</v>
      </c>
      <c r="E3" s="6">
        <v>20</v>
      </c>
      <c r="F3" s="6" t="s">
        <v>901</v>
      </c>
      <c r="G3" s="6" t="s">
        <v>902</v>
      </c>
      <c r="H3" s="6" t="s">
        <v>899</v>
      </c>
    </row>
    <row r="4" spans="1:8" ht="16" x14ac:dyDescent="0.45">
      <c r="A4" s="33">
        <v>2080</v>
      </c>
      <c r="B4" s="33">
        <v>208</v>
      </c>
      <c r="C4" s="6" t="s">
        <v>903</v>
      </c>
      <c r="D4" s="6">
        <v>2</v>
      </c>
      <c r="E4" s="6">
        <v>20</v>
      </c>
      <c r="F4" s="6" t="s">
        <v>901</v>
      </c>
      <c r="G4" s="6" t="s">
        <v>904</v>
      </c>
      <c r="H4" s="6" t="s">
        <v>899</v>
      </c>
    </row>
    <row r="5" spans="1:8" ht="16" x14ac:dyDescent="0.45">
      <c r="A5" s="33">
        <v>2180</v>
      </c>
      <c r="B5" s="33">
        <v>218</v>
      </c>
      <c r="C5" s="6" t="s">
        <v>905</v>
      </c>
      <c r="D5" s="6">
        <v>2</v>
      </c>
      <c r="E5" s="6">
        <v>21</v>
      </c>
      <c r="F5" s="6" t="s">
        <v>906</v>
      </c>
      <c r="G5" s="6" t="s">
        <v>906</v>
      </c>
      <c r="H5" s="6" t="s">
        <v>899</v>
      </c>
    </row>
    <row r="6" spans="1:8" ht="16" x14ac:dyDescent="0.45">
      <c r="A6" s="33">
        <v>2800</v>
      </c>
      <c r="B6" s="33">
        <v>280</v>
      </c>
      <c r="C6" s="6" t="s">
        <v>907</v>
      </c>
      <c r="D6" s="6">
        <v>2</v>
      </c>
      <c r="E6" s="6">
        <v>28</v>
      </c>
      <c r="F6" s="6" t="s">
        <v>906</v>
      </c>
      <c r="G6" s="6" t="s">
        <v>908</v>
      </c>
      <c r="H6" s="6" t="s">
        <v>899</v>
      </c>
    </row>
    <row r="7" spans="1:8" ht="16" x14ac:dyDescent="0.45">
      <c r="A7" s="33">
        <v>3030</v>
      </c>
      <c r="B7" s="33">
        <v>303</v>
      </c>
      <c r="C7" s="6" t="s">
        <v>909</v>
      </c>
      <c r="D7" s="6">
        <v>3</v>
      </c>
      <c r="E7" s="6">
        <v>30</v>
      </c>
      <c r="F7" s="6" t="s">
        <v>910</v>
      </c>
      <c r="G7" s="6" t="s">
        <v>911</v>
      </c>
      <c r="H7" s="6" t="s">
        <v>899</v>
      </c>
    </row>
    <row r="8" spans="1:8" ht="16" x14ac:dyDescent="0.45">
      <c r="A8" s="33">
        <v>3130</v>
      </c>
      <c r="B8" s="33">
        <v>313</v>
      </c>
      <c r="C8" s="6" t="s">
        <v>912</v>
      </c>
      <c r="D8" s="6">
        <v>3</v>
      </c>
      <c r="E8" s="6">
        <v>31</v>
      </c>
      <c r="F8" s="6" t="s">
        <v>910</v>
      </c>
      <c r="G8" s="6" t="s">
        <v>911</v>
      </c>
      <c r="H8" s="6" t="s">
        <v>899</v>
      </c>
    </row>
    <row r="9" spans="1:8" ht="16" x14ac:dyDescent="0.45">
      <c r="A9" s="33">
        <v>3400</v>
      </c>
      <c r="B9" s="33">
        <v>340</v>
      </c>
      <c r="C9" s="6" t="s">
        <v>913</v>
      </c>
      <c r="D9" s="6">
        <v>3</v>
      </c>
      <c r="E9" s="6">
        <v>34</v>
      </c>
      <c r="F9" s="6" t="s">
        <v>910</v>
      </c>
      <c r="G9" s="6" t="s">
        <v>914</v>
      </c>
      <c r="H9" s="6" t="s">
        <v>899</v>
      </c>
    </row>
    <row r="10" spans="1:8" ht="16" x14ac:dyDescent="0.45">
      <c r="A10" s="33">
        <v>3410</v>
      </c>
      <c r="B10" s="33">
        <v>341</v>
      </c>
      <c r="C10" s="6" t="s">
        <v>915</v>
      </c>
      <c r="D10" s="6">
        <v>3</v>
      </c>
      <c r="E10" s="6">
        <v>34</v>
      </c>
      <c r="F10" s="6" t="s">
        <v>910</v>
      </c>
      <c r="G10" s="6" t="s">
        <v>914</v>
      </c>
      <c r="H10" s="6" t="s">
        <v>899</v>
      </c>
    </row>
    <row r="11" spans="1:8" ht="16" x14ac:dyDescent="0.45">
      <c r="A11" s="33">
        <v>3420</v>
      </c>
      <c r="B11" s="33">
        <v>342</v>
      </c>
      <c r="C11" s="6" t="s">
        <v>916</v>
      </c>
      <c r="D11" s="6">
        <v>3</v>
      </c>
      <c r="E11" s="6">
        <v>34</v>
      </c>
      <c r="F11" s="6" t="s">
        <v>910</v>
      </c>
      <c r="G11" s="6" t="s">
        <v>914</v>
      </c>
      <c r="H11" s="6" t="s">
        <v>899</v>
      </c>
    </row>
    <row r="12" spans="1:8" ht="16" x14ac:dyDescent="0.45">
      <c r="A12" s="33">
        <v>3450</v>
      </c>
      <c r="B12" s="33">
        <v>345</v>
      </c>
      <c r="C12" s="6" t="s">
        <v>917</v>
      </c>
      <c r="D12" s="6">
        <v>3</v>
      </c>
      <c r="E12" s="6">
        <v>34</v>
      </c>
      <c r="F12" s="6" t="s">
        <v>910</v>
      </c>
      <c r="G12" s="6" t="s">
        <v>914</v>
      </c>
      <c r="H12" s="6" t="s">
        <v>899</v>
      </c>
    </row>
    <row r="13" spans="1:8" ht="16" x14ac:dyDescent="0.45">
      <c r="A13" s="33">
        <v>3900</v>
      </c>
      <c r="B13" s="33">
        <v>390</v>
      </c>
      <c r="C13" s="6" t="s">
        <v>918</v>
      </c>
      <c r="D13" s="6">
        <v>3</v>
      </c>
      <c r="E13" s="6">
        <v>39</v>
      </c>
      <c r="F13" s="6" t="s">
        <v>910</v>
      </c>
      <c r="G13" s="6" t="s">
        <v>919</v>
      </c>
      <c r="H13" s="6" t="s">
        <v>899</v>
      </c>
    </row>
    <row r="14" spans="1:8" ht="16" x14ac:dyDescent="0.45">
      <c r="A14" s="33">
        <v>5000</v>
      </c>
      <c r="B14" s="33">
        <v>500</v>
      </c>
      <c r="C14" s="6" t="s">
        <v>920</v>
      </c>
      <c r="D14" s="6">
        <v>5</v>
      </c>
      <c r="E14" s="6">
        <v>50</v>
      </c>
      <c r="F14" s="6" t="s">
        <v>921</v>
      </c>
      <c r="G14" s="6" t="s">
        <v>922</v>
      </c>
      <c r="H14" s="6" t="s">
        <v>899</v>
      </c>
    </row>
    <row r="15" spans="1:8" ht="16" x14ac:dyDescent="0.45">
      <c r="A15" s="33">
        <v>5050</v>
      </c>
      <c r="B15" s="33">
        <v>505</v>
      </c>
      <c r="C15" s="6" t="s">
        <v>923</v>
      </c>
      <c r="D15" s="6">
        <v>5</v>
      </c>
      <c r="E15" s="6">
        <v>50</v>
      </c>
      <c r="F15" s="6" t="s">
        <v>921</v>
      </c>
      <c r="G15" s="6" t="s">
        <v>922</v>
      </c>
      <c r="H15" s="6" t="s">
        <v>899</v>
      </c>
    </row>
    <row r="16" spans="1:8" ht="16" x14ac:dyDescent="0.45">
      <c r="A16" s="33">
        <v>5080</v>
      </c>
      <c r="B16" s="33">
        <v>508</v>
      </c>
      <c r="C16" s="6" t="s">
        <v>924</v>
      </c>
      <c r="D16" s="6">
        <v>5</v>
      </c>
      <c r="E16" s="6">
        <v>50</v>
      </c>
      <c r="F16" s="6" t="s">
        <v>921</v>
      </c>
      <c r="G16" s="6" t="s">
        <v>922</v>
      </c>
      <c r="H16" s="6" t="s">
        <v>899</v>
      </c>
    </row>
    <row r="17" spans="1:8" ht="16" x14ac:dyDescent="0.45">
      <c r="A17" s="33">
        <v>5100</v>
      </c>
      <c r="B17" s="33">
        <v>510</v>
      </c>
      <c r="C17" s="6" t="s">
        <v>925</v>
      </c>
      <c r="D17" s="6">
        <v>5</v>
      </c>
      <c r="E17" s="6">
        <v>51</v>
      </c>
      <c r="F17" s="6" t="s">
        <v>921</v>
      </c>
      <c r="G17" s="6" t="s">
        <v>922</v>
      </c>
      <c r="H17" s="6" t="s">
        <v>899</v>
      </c>
    </row>
    <row r="18" spans="1:8" ht="16" x14ac:dyDescent="0.45">
      <c r="A18" s="33">
        <v>5400</v>
      </c>
      <c r="B18" s="33">
        <v>540</v>
      </c>
      <c r="C18" s="6" t="s">
        <v>926</v>
      </c>
      <c r="D18" s="6">
        <v>5</v>
      </c>
      <c r="E18" s="6">
        <v>54</v>
      </c>
      <c r="F18" s="6" t="s">
        <v>921</v>
      </c>
      <c r="G18" s="6" t="s">
        <v>922</v>
      </c>
      <c r="H18" s="6" t="s">
        <v>899</v>
      </c>
    </row>
    <row r="19" spans="1:8" ht="16" x14ac:dyDescent="0.45">
      <c r="A19" s="33">
        <v>5420</v>
      </c>
      <c r="B19" s="33">
        <v>542</v>
      </c>
      <c r="C19" s="6" t="s">
        <v>927</v>
      </c>
      <c r="D19" s="6">
        <v>5</v>
      </c>
      <c r="E19" s="6">
        <v>54</v>
      </c>
      <c r="F19" s="6" t="s">
        <v>921</v>
      </c>
      <c r="G19" s="6" t="s">
        <v>922</v>
      </c>
      <c r="H19" s="6" t="s">
        <v>899</v>
      </c>
    </row>
    <row r="20" spans="1:8" ht="16" x14ac:dyDescent="0.45">
      <c r="A20" s="33">
        <v>5800</v>
      </c>
      <c r="B20" s="33">
        <v>580</v>
      </c>
      <c r="C20" s="6" t="s">
        <v>928</v>
      </c>
      <c r="D20" s="6">
        <v>5</v>
      </c>
      <c r="E20" s="6">
        <v>58</v>
      </c>
      <c r="F20" s="6" t="s">
        <v>921</v>
      </c>
      <c r="G20" s="6" t="s">
        <v>922</v>
      </c>
      <c r="H20" s="6" t="s">
        <v>899</v>
      </c>
    </row>
    <row r="21" spans="1:8" ht="16" x14ac:dyDescent="0.45">
      <c r="A21" s="33">
        <v>5810</v>
      </c>
      <c r="B21" s="33">
        <v>581</v>
      </c>
      <c r="C21" s="6" t="s">
        <v>929</v>
      </c>
      <c r="D21" s="6">
        <v>5</v>
      </c>
      <c r="E21" s="6">
        <v>58</v>
      </c>
      <c r="F21" s="6" t="s">
        <v>921</v>
      </c>
      <c r="G21" s="6" t="s">
        <v>922</v>
      </c>
      <c r="H21" s="6" t="s">
        <v>899</v>
      </c>
    </row>
    <row r="22" spans="1:8" ht="16" x14ac:dyDescent="0.45">
      <c r="A22" s="33">
        <v>6050</v>
      </c>
      <c r="B22" s="33">
        <v>605</v>
      </c>
      <c r="C22" s="6" t="s">
        <v>930</v>
      </c>
      <c r="D22" s="6">
        <v>6</v>
      </c>
      <c r="E22" s="6">
        <v>60</v>
      </c>
      <c r="F22" s="6" t="s">
        <v>921</v>
      </c>
      <c r="G22" s="6" t="s">
        <v>931</v>
      </c>
      <c r="H22" s="6" t="s">
        <v>899</v>
      </c>
    </row>
    <row r="23" spans="1:8" ht="16" x14ac:dyDescent="0.45">
      <c r="A23" s="33">
        <v>6300</v>
      </c>
      <c r="B23" s="33">
        <v>630</v>
      </c>
      <c r="C23" s="6" t="s">
        <v>932</v>
      </c>
      <c r="D23" s="6">
        <v>6</v>
      </c>
      <c r="E23" s="6">
        <v>63</v>
      </c>
      <c r="F23" s="6" t="s">
        <v>921</v>
      </c>
      <c r="G23" s="6" t="s">
        <v>933</v>
      </c>
      <c r="H23" s="6" t="s">
        <v>899</v>
      </c>
    </row>
    <row r="24" spans="1:8" ht="16" x14ac:dyDescent="0.45">
      <c r="A24" s="33">
        <v>6420</v>
      </c>
      <c r="B24" s="33">
        <v>642</v>
      </c>
      <c r="C24" s="6" t="s">
        <v>934</v>
      </c>
      <c r="D24" s="6">
        <v>6</v>
      </c>
      <c r="E24" s="6">
        <v>64</v>
      </c>
      <c r="F24" s="6" t="s">
        <v>921</v>
      </c>
      <c r="G24" s="6" t="s">
        <v>933</v>
      </c>
      <c r="H24" s="6" t="s">
        <v>899</v>
      </c>
    </row>
    <row r="25" spans="1:8" ht="16" x14ac:dyDescent="0.45">
      <c r="A25" s="33">
        <v>6710</v>
      </c>
      <c r="B25" s="33">
        <v>671</v>
      </c>
      <c r="C25" s="6" t="s">
        <v>935</v>
      </c>
      <c r="D25" s="6">
        <v>6</v>
      </c>
      <c r="E25" s="6">
        <v>67</v>
      </c>
      <c r="F25" s="6" t="s">
        <v>921</v>
      </c>
      <c r="G25" s="6" t="s">
        <v>933</v>
      </c>
      <c r="H25" s="6" t="s">
        <v>899</v>
      </c>
    </row>
    <row r="26" spans="1:8" ht="16" x14ac:dyDescent="0.45">
      <c r="A26" s="33">
        <v>6730</v>
      </c>
      <c r="B26" s="33">
        <v>673</v>
      </c>
      <c r="C26" s="6" t="s">
        <v>936</v>
      </c>
      <c r="D26" s="6">
        <v>6</v>
      </c>
      <c r="E26" s="6">
        <v>67</v>
      </c>
      <c r="F26" s="6" t="s">
        <v>921</v>
      </c>
      <c r="G26" s="6" t="s">
        <v>933</v>
      </c>
      <c r="H26" s="6" t="s">
        <v>899</v>
      </c>
    </row>
    <row r="27" spans="1:8" ht="16" x14ac:dyDescent="0.45">
      <c r="A27" s="33">
        <v>6740</v>
      </c>
      <c r="B27" s="33">
        <v>674</v>
      </c>
      <c r="C27" s="6" t="s">
        <v>937</v>
      </c>
      <c r="D27" s="6">
        <v>6</v>
      </c>
      <c r="E27" s="6">
        <v>67</v>
      </c>
      <c r="F27" s="6" t="s">
        <v>921</v>
      </c>
      <c r="G27" s="6" t="s">
        <v>933</v>
      </c>
      <c r="H27" s="6" t="s">
        <v>899</v>
      </c>
    </row>
    <row r="28" spans="1:8" ht="16" x14ac:dyDescent="0.45">
      <c r="A28" s="33">
        <v>6800</v>
      </c>
      <c r="B28" s="33">
        <v>680</v>
      </c>
      <c r="C28" s="6" t="s">
        <v>938</v>
      </c>
      <c r="D28" s="6">
        <v>6</v>
      </c>
      <c r="E28" s="6">
        <v>68</v>
      </c>
      <c r="F28" s="6" t="s">
        <v>921</v>
      </c>
      <c r="G28" s="6" t="s">
        <v>933</v>
      </c>
      <c r="H28" s="6" t="s">
        <v>899</v>
      </c>
    </row>
    <row r="29" spans="1:8" ht="16" x14ac:dyDescent="0.45">
      <c r="A29" s="33">
        <v>7130</v>
      </c>
      <c r="B29" s="33">
        <v>713</v>
      </c>
      <c r="C29" s="6" t="s">
        <v>939</v>
      </c>
      <c r="D29" s="6">
        <v>7</v>
      </c>
      <c r="E29" s="6">
        <v>71</v>
      </c>
      <c r="F29" s="6" t="s">
        <v>921</v>
      </c>
      <c r="G29" s="6" t="s">
        <v>933</v>
      </c>
      <c r="H29" s="6" t="s">
        <v>899</v>
      </c>
    </row>
    <row r="30" spans="1:8" ht="16" x14ac:dyDescent="0.45">
      <c r="A30" s="33">
        <v>7790</v>
      </c>
      <c r="B30" s="33">
        <v>779</v>
      </c>
      <c r="C30" s="6" t="s">
        <v>940</v>
      </c>
      <c r="D30" s="6">
        <v>7</v>
      </c>
      <c r="E30" s="6">
        <v>77</v>
      </c>
      <c r="F30" s="6" t="s">
        <v>921</v>
      </c>
      <c r="G30" s="6" t="s">
        <v>933</v>
      </c>
      <c r="H30" s="6" t="s">
        <v>899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06_Sammendrag</vt:lpstr>
      <vt:lpstr>00_Navigasjon_Arkitektur</vt:lpstr>
      <vt:lpstr>01_Executive_Cockpit</vt:lpstr>
      <vt:lpstr>02_EVM_Prosjektkontroll</vt:lpstr>
      <vt:lpstr>03_S_Kurve_Tidsserie</vt:lpstr>
      <vt:lpstr>04_F05_20_Avsetningskalkyle</vt:lpstr>
      <vt:lpstr>05_Compliance_Internkontroll</vt:lpstr>
      <vt:lpstr>Dim_Project</vt:lpstr>
      <vt:lpstr>Dim_Date</vt:lpstr>
      <vt:lpstr>Dim_Model_Parameter</vt:lpstr>
      <vt:lpstr>Fact_EVM_Snapshots</vt:lpstr>
      <vt:lpstr>Fact_UBW_Audit</vt:lpstr>
      <vt:lpstr>Fact_Travel_Audit</vt:lpstr>
      <vt:lpstr>Fact_Project_BOA</vt:lpstr>
      <vt:lpstr>Dim_Kontoplan_2026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Frank Ellingsen</cp:lastModifiedBy>
  <dcterms:created xsi:type="dcterms:W3CDTF">2026-10-04T16:41:00Z</dcterms:created>
  <dcterms:modified xsi:type="dcterms:W3CDTF">2026-10-04T17:02:49Z</dcterms:modified>
</cp:coreProperties>
</file>