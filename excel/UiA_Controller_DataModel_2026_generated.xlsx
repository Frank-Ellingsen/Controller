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Navigasjon_Arkitektur" sheetId="1" state="visible" r:id="rId1"/>
    <sheet xmlns:r="http://schemas.openxmlformats.org/officeDocument/2006/relationships" name="01_Executive_Cockpit" sheetId="2" state="visible" r:id="rId2"/>
    <sheet xmlns:r="http://schemas.openxmlformats.org/officeDocument/2006/relationships" name="02_EVM_Prosjektkontroll" sheetId="3" state="visible" r:id="rId3"/>
    <sheet xmlns:r="http://schemas.openxmlformats.org/officeDocument/2006/relationships" name="03_S_Kurve_Tidsserie" sheetId="4" state="visible" r:id="rId4"/>
    <sheet xmlns:r="http://schemas.openxmlformats.org/officeDocument/2006/relationships" name="04_F05_20_Avsetningskalkyle" sheetId="5" state="visible" r:id="rId5"/>
    <sheet xmlns:r="http://schemas.openxmlformats.org/officeDocument/2006/relationships" name="05_Compliance_Internkontroll" sheetId="6" state="visible" r:id="rId6"/>
    <sheet xmlns:r="http://schemas.openxmlformats.org/officeDocument/2006/relationships" name="Dim_Project" sheetId="7" state="visible" r:id="rId7"/>
    <sheet xmlns:r="http://schemas.openxmlformats.org/officeDocument/2006/relationships" name="Dim_Date" sheetId="8" state="visible" r:id="rId8"/>
    <sheet xmlns:r="http://schemas.openxmlformats.org/officeDocument/2006/relationships" name="Dim_Model_Parameter" sheetId="9" state="visible" r:id="rId9"/>
    <sheet xmlns:r="http://schemas.openxmlformats.org/officeDocument/2006/relationships" name="Fact_EVM_Snapshots" sheetId="10" state="visible" r:id="rId10"/>
    <sheet xmlns:r="http://schemas.openxmlformats.org/officeDocument/2006/relationships" name="Fact_UBW_Audit" sheetId="11" state="visible" r:id="rId11"/>
    <sheet xmlns:r="http://schemas.openxmlformats.org/officeDocument/2006/relationships" name="Fact_Travel_Audit" sheetId="12" state="visible" r:id="rId12"/>
    <sheet xmlns:r="http://schemas.openxmlformats.org/officeDocument/2006/relationships" name="Fact_Project_BOA" sheetId="13" state="visible" r:id="rId13"/>
    <sheet xmlns:r="http://schemas.openxmlformats.org/officeDocument/2006/relationships"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14" headerRowCount="1">
  <autoFilter ref="A1:O14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189" headerRowCount="1">
  <autoFilter ref="A1:I189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R7" headerRowCount="1">
  <autoFilter ref="A1:R7"/>
  <tableColumns count="18">
    <tableColumn id="1" name="Prosjekt"/>
    <tableColumn id="2" name="Prosjektnavn"/>
    <tableColumn id="3" name="Finansieringstype"/>
    <tableColumn id="4" name="Finansieringskilde"/>
    <tableColumn id="5" name="Kontraktsbelop"/>
    <tableColumn id="6" name="Budsjett"/>
    <tableColumn id="7" name="Frikjop"/>
    <tableColumn id="8" name="DirekteDrift"/>
    <tableColumn id="9" name="Overhead"/>
    <tableColumn id="10" name="Leiested"/>
    <tableColumn id="11" name="PåløptKostnad"/>
    <tableColumn id="12" name="Inntektsført"/>
    <tableColumn id="13" name="Dekningsgrad"/>
    <tableColumn id="14" name="%TidGått"/>
    <tableColumn id="15" name="%BudsjettForbrukt"/>
    <tableColumn id="16" name="Forbruksavvik"/>
    <tableColumn id="17" name="RAG_Status"/>
    <tableColumn id="18" name="StatusMerknad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H30" headerRowCount="1">
  <autoFilter ref="A1:H30"/>
  <tableColumns count="8">
    <tableColumn id="1" name="Konto"/>
    <tableColumn id="2" name="StandardKonto3"/>
    <tableColumn id="3" name="Kontonavn"/>
    <tableColumn id="4" name="Kontoklasse"/>
    <tableColumn id="5" name="Kontogruppe"/>
    <tableColumn id="6" name="Kontotype"/>
    <tableColumn id="7" name="SRS_regnskapslinje"/>
    <tableColumn id="8" name="AktuellFor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3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2026-M08</t>
        </is>
      </c>
      <c r="B2" s="7" t="inlineStr">
        <is>
          <t>2026-10-04 18:42:19</t>
        </is>
      </c>
      <c r="C2" s="7" t="inlineStr">
        <is>
          <t>UM-DEF-02</t>
        </is>
      </c>
      <c r="D2" s="13" t="n">
        <v>18500000</v>
      </c>
      <c r="E2" s="13" t="n">
        <v>12333333</v>
      </c>
      <c r="F2" s="13" t="n">
        <v>12600000</v>
      </c>
      <c r="G2" s="13" t="n">
        <v>12100000</v>
      </c>
      <c r="H2" s="23" t="n">
        <v>1.04</v>
      </c>
      <c r="I2" s="23" t="n">
        <v>1.02</v>
      </c>
      <c r="J2" s="13" t="n">
        <v>17788461.54</v>
      </c>
      <c r="K2" s="13" t="n">
        <v>17661840.12</v>
      </c>
      <c r="L2" s="13" t="n">
        <v>17794980.69</v>
      </c>
      <c r="M2" s="13" t="n">
        <v>711538.46</v>
      </c>
      <c r="N2" s="23" t="n">
        <v>0.92</v>
      </c>
      <c r="O2" s="6" t="inlineStr">
        <is>
          <t>ON TRACK</t>
        </is>
      </c>
    </row>
    <row r="3">
      <c r="A3" s="7" t="inlineStr">
        <is>
          <t>2026-M08</t>
        </is>
      </c>
      <c r="B3" s="7" t="inlineStr">
        <is>
          <t>2026-10-04 18:42:19</t>
        </is>
      </c>
      <c r="C3" s="7" t="inlineStr">
        <is>
          <t>UM-ENG-03</t>
        </is>
      </c>
      <c r="D3" s="13" t="n">
        <v>8200000</v>
      </c>
      <c r="E3" s="13" t="n">
        <v>5466667</v>
      </c>
      <c r="F3" s="13" t="n">
        <v>4300000</v>
      </c>
      <c r="G3" s="13" t="n">
        <v>5800000</v>
      </c>
      <c r="H3" s="23" t="n">
        <v>0.74</v>
      </c>
      <c r="I3" s="23" t="n">
        <v>0.79</v>
      </c>
      <c r="J3" s="13" t="n">
        <v>11081081.08</v>
      </c>
      <c r="K3" s="13" t="n">
        <v>12471228.19</v>
      </c>
      <c r="L3" s="13" t="n">
        <v>11000000</v>
      </c>
      <c r="M3" s="13" t="n">
        <v>-2881081.08</v>
      </c>
      <c r="N3" s="23" t="n">
        <v>1.62</v>
      </c>
      <c r="O3" s="6" t="inlineStr">
        <is>
          <t>CRITICAL</t>
        </is>
      </c>
    </row>
    <row r="4">
      <c r="A4" s="7" t="inlineStr">
        <is>
          <t>2026-M08</t>
        </is>
      </c>
      <c r="B4" s="7" t="inlineStr">
        <is>
          <t>2026-10-04 18:42:19</t>
        </is>
      </c>
      <c r="C4" s="7" t="inlineStr">
        <is>
          <t>UM-FPV-01</t>
        </is>
      </c>
      <c r="D4" s="13" t="n">
        <v>45000000</v>
      </c>
      <c r="E4" s="13" t="n">
        <v>30000000</v>
      </c>
      <c r="F4" s="13" t="n">
        <v>27500000</v>
      </c>
      <c r="G4" s="13" t="n">
        <v>30200000</v>
      </c>
      <c r="H4" s="23" t="n">
        <v>0.91</v>
      </c>
      <c r="I4" s="23" t="n">
        <v>0.92</v>
      </c>
      <c r="J4" s="13" t="n">
        <v>49450549.45</v>
      </c>
      <c r="K4" s="13" t="n">
        <v>51103010.03</v>
      </c>
      <c r="L4" s="13" t="n">
        <v>49388596.49</v>
      </c>
      <c r="M4" s="13" t="n">
        <v>-4450549.45</v>
      </c>
      <c r="N4" s="23" t="n">
        <v>1.18</v>
      </c>
      <c r="O4" s="6" t="inlineStr">
        <is>
          <t>CRITICAL</t>
        </is>
      </c>
    </row>
    <row r="5">
      <c r="A5" s="7" t="inlineStr">
        <is>
          <t>2026-M08</t>
        </is>
      </c>
      <c r="B5" s="7" t="inlineStr">
        <is>
          <t>2026-10-04 18:42:19</t>
        </is>
      </c>
      <c r="C5" s="7" t="inlineStr">
        <is>
          <t>UM-AI-04</t>
        </is>
      </c>
      <c r="D5" s="13" t="n">
        <v>12000000</v>
      </c>
      <c r="E5" s="13" t="n">
        <v>8000000</v>
      </c>
      <c r="F5" s="13" t="n">
        <v>8300000</v>
      </c>
      <c r="G5" s="13" t="n">
        <v>7900000</v>
      </c>
      <c r="H5" s="23" t="n">
        <v>1.05</v>
      </c>
      <c r="I5" s="23" t="n">
        <v>1.04</v>
      </c>
      <c r="J5" s="13" t="n">
        <v>11428571.43</v>
      </c>
      <c r="K5" s="13" t="n">
        <v>11288278.39</v>
      </c>
      <c r="L5" s="13" t="n">
        <v>11430534.35</v>
      </c>
      <c r="M5" s="13" t="n">
        <v>571428.5699999999</v>
      </c>
      <c r="N5" s="23" t="n">
        <v>0.9</v>
      </c>
      <c r="O5" s="6" t="inlineStr">
        <is>
          <t>ON TRACK</t>
        </is>
      </c>
    </row>
    <row r="6">
      <c r="A6" s="7" t="inlineStr">
        <is>
          <t>2026-M08</t>
        </is>
      </c>
      <c r="B6" s="7" t="inlineStr">
        <is>
          <t>2026-10-04 18:42:19</t>
        </is>
      </c>
      <c r="C6" s="7" t="inlineStr">
        <is>
          <t>UM-HEALTH-05</t>
        </is>
      </c>
      <c r="D6" s="13" t="n">
        <v>15000000</v>
      </c>
      <c r="E6" s="13" t="n">
        <v>10000000</v>
      </c>
      <c r="F6" s="13" t="n">
        <v>9100000</v>
      </c>
      <c r="G6" s="13" t="n">
        <v>10400000</v>
      </c>
      <c r="H6" s="23" t="n">
        <v>0.88</v>
      </c>
      <c r="I6" s="23" t="n">
        <v>0.91</v>
      </c>
      <c r="J6" s="13" t="n">
        <v>17045454.55</v>
      </c>
      <c r="K6" s="13" t="n">
        <v>17767632.37</v>
      </c>
      <c r="L6" s="13" t="n">
        <v>17059142.21</v>
      </c>
      <c r="M6" s="13" t="n">
        <v>-2045454.55</v>
      </c>
      <c r="N6" s="23" t="n">
        <v>1.28</v>
      </c>
      <c r="O6" s="6" t="inlineStr">
        <is>
          <t>CRITICAL</t>
        </is>
      </c>
    </row>
    <row r="7">
      <c r="A7" s="7" t="inlineStr">
        <is>
          <t>2026-M09</t>
        </is>
      </c>
      <c r="B7" s="7" t="inlineStr">
        <is>
          <t>2026-10-04 19:13:42</t>
        </is>
      </c>
      <c r="C7" s="7" t="inlineStr">
        <is>
          <t>UM-DEF-02</t>
        </is>
      </c>
      <c r="D7" s="13" t="n">
        <v>18500000</v>
      </c>
      <c r="E7" s="13" t="n">
        <v>13875000</v>
      </c>
      <c r="F7" s="13" t="n">
        <v>14100000</v>
      </c>
      <c r="G7" s="13" t="n">
        <v>13500000</v>
      </c>
      <c r="H7" s="23" t="n">
        <v>1.04</v>
      </c>
      <c r="I7" s="23" t="n">
        <v>1.02</v>
      </c>
      <c r="J7" s="13" t="n">
        <v>17788461.54</v>
      </c>
      <c r="K7" s="13" t="n">
        <v>17647812.97</v>
      </c>
      <c r="L7" s="13" t="n">
        <v>17747104.25</v>
      </c>
      <c r="M7" s="13" t="n">
        <v>711538.46</v>
      </c>
      <c r="N7" s="23" t="n">
        <v>0.88</v>
      </c>
      <c r="O7" s="6" t="inlineStr">
        <is>
          <t>ON TRACK</t>
        </is>
      </c>
    </row>
    <row r="8">
      <c r="A8" s="7" t="inlineStr">
        <is>
          <t>2026-M09</t>
        </is>
      </c>
      <c r="B8" s="7" t="inlineStr">
        <is>
          <t>2026-10-04 19:13:42</t>
        </is>
      </c>
      <c r="C8" s="7" t="inlineStr">
        <is>
          <t>UM-ENG-03</t>
        </is>
      </c>
      <c r="D8" s="13" t="n">
        <v>8200000</v>
      </c>
      <c r="E8" s="13" t="n">
        <v>6150000</v>
      </c>
      <c r="F8" s="13" t="n">
        <v>4800000</v>
      </c>
      <c r="G8" s="13" t="n">
        <v>6500000</v>
      </c>
      <c r="H8" s="23" t="n">
        <v>0.74</v>
      </c>
      <c r="I8" s="23" t="n">
        <v>0.78</v>
      </c>
      <c r="J8" s="13" t="n">
        <v>11081081.08</v>
      </c>
      <c r="K8" s="13" t="n">
        <v>12390505.89</v>
      </c>
      <c r="L8" s="13" t="n">
        <v>11045454.55</v>
      </c>
      <c r="M8" s="13" t="n">
        <v>-2881081.08</v>
      </c>
      <c r="N8" s="23" t="n">
        <v>2</v>
      </c>
      <c r="O8" s="6" t="inlineStr">
        <is>
          <t>CRITICAL</t>
        </is>
      </c>
    </row>
    <row r="9">
      <c r="A9" s="7" t="inlineStr">
        <is>
          <t>2026-M09</t>
        </is>
      </c>
      <c r="B9" s="7" t="inlineStr">
        <is>
          <t>2026-10-04 19:13:42</t>
        </is>
      </c>
      <c r="C9" s="7" t="inlineStr">
        <is>
          <t>UM-FPV-01</t>
        </is>
      </c>
      <c r="D9" s="13" t="n">
        <v>45000000</v>
      </c>
      <c r="E9" s="13" t="n">
        <v>33750000</v>
      </c>
      <c r="F9" s="13" t="n">
        <v>31000000</v>
      </c>
      <c r="G9" s="13" t="n">
        <v>33800000</v>
      </c>
      <c r="H9" s="23" t="n">
        <v>0.92</v>
      </c>
      <c r="I9" s="23" t="n">
        <v>0.92</v>
      </c>
      <c r="J9" s="13" t="n">
        <v>48913043.48</v>
      </c>
      <c r="K9" s="13" t="n">
        <v>50340642.72</v>
      </c>
      <c r="L9" s="13" t="n">
        <v>49017391.3</v>
      </c>
      <c r="M9" s="13" t="n">
        <v>-3913043.48</v>
      </c>
      <c r="N9" s="23" t="n">
        <v>1.25</v>
      </c>
      <c r="O9" s="6" t="inlineStr">
        <is>
          <t>CRITICAL</t>
        </is>
      </c>
    </row>
    <row r="10">
      <c r="A10" s="7" t="inlineStr">
        <is>
          <t>2026-M09</t>
        </is>
      </c>
      <c r="B10" s="7" t="inlineStr">
        <is>
          <t>2026-10-04 19:13:42</t>
        </is>
      </c>
      <c r="C10" s="7" t="inlineStr">
        <is>
          <t>UM-AI-04</t>
        </is>
      </c>
      <c r="D10" s="13" t="n">
        <v>12000000</v>
      </c>
      <c r="E10" s="13" t="n">
        <v>9000000</v>
      </c>
      <c r="F10" s="13" t="n">
        <v>9300000</v>
      </c>
      <c r="G10" s="13" t="n">
        <v>8800000</v>
      </c>
      <c r="H10" s="23" t="n">
        <v>1.06</v>
      </c>
      <c r="I10" s="23" t="n">
        <v>1.03</v>
      </c>
      <c r="J10" s="13" t="n">
        <v>11320754.72</v>
      </c>
      <c r="K10" s="13" t="n">
        <v>11272980.4</v>
      </c>
      <c r="L10" s="13" t="n">
        <v>11361669.83</v>
      </c>
      <c r="M10" s="13" t="n">
        <v>679245.28</v>
      </c>
      <c r="N10" s="23" t="n">
        <v>0.84</v>
      </c>
      <c r="O10" s="6" t="inlineStr">
        <is>
          <t>ON TRACK</t>
        </is>
      </c>
    </row>
    <row r="11">
      <c r="A11" s="7" t="inlineStr">
        <is>
          <t>2026-M09</t>
        </is>
      </c>
      <c r="B11" s="7" t="inlineStr">
        <is>
          <t>2026-10-04 19:13:42</t>
        </is>
      </c>
      <c r="C11" s="7" t="inlineStr">
        <is>
          <t>UM-HEALTH-05</t>
        </is>
      </c>
      <c r="D11" s="13" t="n">
        <v>15000000</v>
      </c>
      <c r="E11" s="13" t="n">
        <v>11250000</v>
      </c>
      <c r="F11" s="13" t="n">
        <v>10200000</v>
      </c>
      <c r="G11" s="13" t="n">
        <v>11600000</v>
      </c>
      <c r="H11" s="23" t="n">
        <v>0.88</v>
      </c>
      <c r="I11" s="23" t="n">
        <v>0.91</v>
      </c>
      <c r="J11" s="13" t="n">
        <v>17045454.55</v>
      </c>
      <c r="K11" s="13" t="n">
        <v>17594005.99</v>
      </c>
      <c r="L11" s="13" t="n">
        <v>17017607.22</v>
      </c>
      <c r="M11" s="13" t="n">
        <v>-2045454.55</v>
      </c>
      <c r="N11" s="23" t="n">
        <v>1.41</v>
      </c>
      <c r="O11" s="6" t="inlineStr">
        <is>
          <t>CRITICAL</t>
        </is>
      </c>
    </row>
    <row r="12">
      <c r="A12" s="7" t="inlineStr">
        <is>
          <t>2026-M10</t>
        </is>
      </c>
      <c r="B12" s="7" t="inlineStr">
        <is>
          <t>2026-10-04 20:12:44</t>
        </is>
      </c>
      <c r="C12" s="7" t="inlineStr">
        <is>
          <t>UM-DEF-02</t>
        </is>
      </c>
      <c r="D12" s="13" t="n">
        <v>18500000</v>
      </c>
      <c r="E12" s="13" t="n">
        <v>12000000</v>
      </c>
      <c r="F12" s="13" t="n">
        <v>12200000</v>
      </c>
      <c r="G12" s="13" t="n">
        <v>11800000</v>
      </c>
      <c r="H12" s="23" t="n">
        <v>1.03</v>
      </c>
      <c r="I12" s="23" t="n">
        <v>1.02</v>
      </c>
      <c r="J12" s="13" t="n">
        <v>17961165.05</v>
      </c>
      <c r="K12" s="13" t="n">
        <v>17796573.39</v>
      </c>
      <c r="L12" s="13" t="n">
        <v>17928404.67</v>
      </c>
      <c r="M12" s="13" t="n">
        <v>538834.95</v>
      </c>
      <c r="N12" s="23" t="n">
        <v>0.9399999999999999</v>
      </c>
      <c r="O12" s="6" t="inlineStr">
        <is>
          <t>ON TRACK</t>
        </is>
      </c>
    </row>
    <row r="13">
      <c r="A13" s="7" t="inlineStr">
        <is>
          <t>2026-M10</t>
        </is>
      </c>
      <c r="B13" s="7" t="inlineStr">
        <is>
          <t>2026-10-04 20:12:44</t>
        </is>
      </c>
      <c r="C13" s="7" t="inlineStr">
        <is>
          <t>UM-ENG-03</t>
        </is>
      </c>
      <c r="D13" s="13" t="n">
        <v>8200000</v>
      </c>
      <c r="E13" s="13" t="n">
        <v>6500000</v>
      </c>
      <c r="F13" s="13" t="n">
        <v>5200000</v>
      </c>
      <c r="G13" s="13" t="n">
        <v>6800000</v>
      </c>
      <c r="H13" s="23" t="n">
        <v>0.76</v>
      </c>
      <c r="I13" s="23" t="n">
        <v>0.8</v>
      </c>
      <c r="J13" s="13" t="n">
        <v>10789473.68</v>
      </c>
      <c r="K13" s="13" t="n">
        <v>11734210.53</v>
      </c>
      <c r="L13" s="13" t="n">
        <v>10706250</v>
      </c>
      <c r="M13" s="13" t="n">
        <v>-2589473.68</v>
      </c>
      <c r="N13" s="23" t="n">
        <v>2.14</v>
      </c>
      <c r="O13" s="6" t="inlineStr">
        <is>
          <t>CRITICAL</t>
        </is>
      </c>
    </row>
    <row r="14">
      <c r="A14" s="7" t="inlineStr">
        <is>
          <t>2026-M10</t>
        </is>
      </c>
      <c r="B14" s="7" t="inlineStr">
        <is>
          <t>2026-10-04 20:12:44</t>
        </is>
      </c>
      <c r="C14" s="7" t="inlineStr">
        <is>
          <t>UM-FPV-01</t>
        </is>
      </c>
      <c r="D14" s="13" t="n">
        <v>45000000</v>
      </c>
      <c r="E14" s="13" t="n">
        <v>22500000</v>
      </c>
      <c r="F14" s="13" t="n">
        <v>21000000</v>
      </c>
      <c r="G14" s="13" t="n">
        <v>23100000</v>
      </c>
      <c r="H14" s="23" t="n">
        <v>0.91</v>
      </c>
      <c r="I14" s="23" t="n">
        <v>0.93</v>
      </c>
      <c r="J14" s="13" t="n">
        <v>49450549.45</v>
      </c>
      <c r="K14" s="13" t="n">
        <v>51458738.04</v>
      </c>
      <c r="L14" s="13" t="n">
        <v>49358205.69</v>
      </c>
      <c r="M14" s="13" t="n">
        <v>-4450549.45</v>
      </c>
      <c r="N14" s="23" t="n">
        <v>1.1</v>
      </c>
      <c r="O14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73" customWidth="1" min="3" max="3"/>
    <col width="22" customWidth="1" min="4" max="4"/>
    <col width="12" customWidth="1" min="5" max="5"/>
    <col width="16" customWidth="1" min="6" max="6"/>
    <col width="22" customWidth="1" min="7" max="7"/>
    <col width="73" customWidth="1" min="8" max="8"/>
    <col width="79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  <row r="7">
      <c r="A7" s="7" t="inlineStr">
        <is>
          <t>TX-9001</t>
        </is>
      </c>
      <c r="B7" s="7" t="inlineStr">
        <is>
          <t>5000</t>
        </is>
      </c>
      <c r="C7" s="6" t="inlineStr">
        <is>
          <t>Fast Lønn - Sept 2026 (Handelshøyskolen)</t>
        </is>
      </c>
      <c r="D7" s="34" t="n">
        <v>40471.27</v>
      </c>
      <c r="E7" s="7" t="inlineStr">
        <is>
          <t>EMP-114</t>
        </is>
      </c>
      <c r="F7" s="7" t="inlineStr">
        <is>
          <t>EMP-108</t>
        </is>
      </c>
      <c r="G7" s="66" t="n">
        <v>1</v>
      </c>
      <c r="H7" s="6" t="inlineStr">
        <is>
          <t>Fast Lønn - Sept 2026 (Handelshøyskolen)</t>
        </is>
      </c>
      <c r="I7" s="6">
        <f>IF(E7=F7, "BRUDD: Egengodkjenning", IF(G7=0, "MANGLER BILAG", "OK"))</f>
        <v/>
      </c>
    </row>
    <row r="8">
      <c r="A8" s="7" t="inlineStr">
        <is>
          <t>TX-9002</t>
        </is>
      </c>
      <c r="B8" s="7" t="inlineStr">
        <is>
          <t>7100</t>
        </is>
      </c>
      <c r="C8" s="6" t="inlineStr">
        <is>
          <t>Bilgodtgjørelse feltarbeid - Sept 2026 (Helse- og Idrettsvitenskap)</t>
        </is>
      </c>
      <c r="D8" s="34" t="n">
        <v>2352.61</v>
      </c>
      <c r="E8" s="7" t="inlineStr">
        <is>
          <t>EMP-110</t>
        </is>
      </c>
      <c r="F8" s="7" t="inlineStr">
        <is>
          <t>EMP-112</t>
        </is>
      </c>
      <c r="G8" s="66" t="n">
        <v>1</v>
      </c>
      <c r="H8" s="6" t="inlineStr">
        <is>
          <t>Bilgodtgjørelse feltarbeid - Sept 2026 (Helse- og Idrettsvitenskap)</t>
        </is>
      </c>
      <c r="I8" s="6">
        <f>IF(E8=F8, "BRUDD: Egengodkjenning", IF(G8=0, "MANGLER BILAG", "OK"))</f>
        <v/>
      </c>
    </row>
    <row r="9">
      <c r="A9" s="7" t="inlineStr">
        <is>
          <t>TX-9003</t>
        </is>
      </c>
      <c r="B9" s="7" t="inlineStr">
        <is>
          <t>5000</t>
        </is>
      </c>
      <c r="C9" s="6" t="inlineStr">
        <is>
          <t>Fast Lønn - Sept 2026 (Fellesadministrasjon)</t>
        </is>
      </c>
      <c r="D9" s="34" t="n">
        <v>55209.04</v>
      </c>
      <c r="E9" s="7" t="inlineStr">
        <is>
          <t>EMP-103</t>
        </is>
      </c>
      <c r="F9" s="7" t="inlineStr">
        <is>
          <t>EMP-110</t>
        </is>
      </c>
      <c r="G9" s="66" t="n">
        <v>1</v>
      </c>
      <c r="H9" s="6" t="inlineStr">
        <is>
          <t>Fast Lønn - Sept 2026 (Fellesadministrasjon)</t>
        </is>
      </c>
      <c r="I9" s="6">
        <f>IF(E9=F9, "BRUDD: Egengodkjenning", IF(G9=0, "MANGLER BILAG", "OK"))</f>
        <v/>
      </c>
    </row>
    <row r="10">
      <c r="A10" s="7" t="inlineStr">
        <is>
          <t>TX-9004</t>
        </is>
      </c>
      <c r="B10" s="7" t="inlineStr">
        <is>
          <t>3400</t>
        </is>
      </c>
      <c r="C10" s="6" t="inlineStr">
        <is>
          <t>Oppdragsinntekter BOA - Sept 2026 (Handelshøyskolen)</t>
        </is>
      </c>
      <c r="D10" s="34" t="n">
        <v>-69957.11</v>
      </c>
      <c r="E10" s="7" t="inlineStr">
        <is>
          <t>EMP-104</t>
        </is>
      </c>
      <c r="F10" s="7" t="inlineStr">
        <is>
          <t>EMP-114</t>
        </is>
      </c>
      <c r="G10" s="66" t="n">
        <v>1</v>
      </c>
      <c r="H10" s="6" t="inlineStr">
        <is>
          <t>Oppdragsinntekter BOA - Sept 2026 (Handelshøyskolen)</t>
        </is>
      </c>
      <c r="I10" s="6">
        <f>IF(E10=F10, "BRUDD: Egengodkjenning", IF(G10=0, "MANGLER BILAG", "OK"))</f>
        <v/>
      </c>
    </row>
    <row r="11">
      <c r="A11" s="7" t="inlineStr">
        <is>
          <t>TX-9005</t>
        </is>
      </c>
      <c r="B11" s="7" t="inlineStr">
        <is>
          <t>7130</t>
        </is>
      </c>
      <c r="C11" s="6" t="inlineStr">
        <is>
          <t>Reiseregning fagsamling - Sept 2026 (Handelshøyskolen)</t>
        </is>
      </c>
      <c r="D11" s="34" t="n">
        <v>4001.14</v>
      </c>
      <c r="E11" s="7" t="inlineStr">
        <is>
          <t>EMP-107</t>
        </is>
      </c>
      <c r="F11" s="7" t="inlineStr">
        <is>
          <t>EMP-102</t>
        </is>
      </c>
      <c r="G11" s="66" t="n">
        <v>1</v>
      </c>
      <c r="H11" s="6" t="inlineStr">
        <is>
          <t>Reiseregning fagsamling - Sept 2026 (Handelshøyskolen)</t>
        </is>
      </c>
      <c r="I11" s="6">
        <f>IF(E11=F11, "BRUDD: Egengodkjenning", IF(G11=0, "MANGLER BILAG", "OK"))</f>
        <v/>
      </c>
    </row>
    <row r="12">
      <c r="A12" s="7" t="inlineStr">
        <is>
          <t>TX-9006</t>
        </is>
      </c>
      <c r="B12" s="7" t="inlineStr">
        <is>
          <t>6800</t>
        </is>
      </c>
      <c r="C12" s="6" t="inlineStr">
        <is>
          <t>Kontorrekvisita - Sept 2026 (Handelshøyskolen)</t>
        </is>
      </c>
      <c r="D12" s="34" t="n">
        <v>1437.32</v>
      </c>
      <c r="E12" s="7" t="inlineStr">
        <is>
          <t>EMP-101</t>
        </is>
      </c>
      <c r="F12" s="7" t="inlineStr">
        <is>
          <t>EMP-107</t>
        </is>
      </c>
      <c r="G12" s="66" t="n">
        <v>1</v>
      </c>
      <c r="H12" s="6" t="inlineStr">
        <is>
          <t>Kontorrekvisita - Sept 2026 (Handelshøyskolen)</t>
        </is>
      </c>
      <c r="I12" s="6">
        <f>IF(E12=F12, "BRUDD: Egengodkjenning", IF(G12=0, "MANGLER BILAG", "OK"))</f>
        <v/>
      </c>
    </row>
    <row r="13">
      <c r="A13" s="7" t="inlineStr">
        <is>
          <t>TX-9007</t>
        </is>
      </c>
      <c r="B13" s="7" t="inlineStr">
        <is>
          <t>5330</t>
        </is>
      </c>
      <c r="C13" s="6" t="inlineStr">
        <is>
          <t>Sensorhonorarer - Sept 2026 (Teknologi og Realfag)</t>
        </is>
      </c>
      <c r="D13" s="34" t="n">
        <v>10574.2</v>
      </c>
      <c r="E13" s="7" t="inlineStr">
        <is>
          <t>EMP-104</t>
        </is>
      </c>
      <c r="F13" s="7" t="inlineStr">
        <is>
          <t>EMP-113</t>
        </is>
      </c>
      <c r="G13" s="66" t="n">
        <v>1</v>
      </c>
      <c r="H13" s="6" t="inlineStr">
        <is>
          <t>Sensorhonorarer - Sept 2026 (Teknologi og Realfag)</t>
        </is>
      </c>
      <c r="I13" s="6">
        <f>IF(E13=F13, "BRUDD: Egengodkjenning", IF(G13=0, "MANGLER BILAG", "OK"))</f>
        <v/>
      </c>
    </row>
    <row r="14">
      <c r="A14" s="7" t="inlineStr">
        <is>
          <t>TX-9008</t>
        </is>
      </c>
      <c r="B14" s="7" t="inlineStr">
        <is>
          <t>5000</t>
        </is>
      </c>
      <c r="C14" s="6" t="inlineStr">
        <is>
          <t>Fast Lønn - Sept 2026 (Handelshøyskolen)</t>
        </is>
      </c>
      <c r="D14" s="34" t="n">
        <v>36720.74</v>
      </c>
      <c r="E14" s="7" t="inlineStr">
        <is>
          <t>EMP-114</t>
        </is>
      </c>
      <c r="F14" s="7" t="inlineStr">
        <is>
          <t>EMP-102</t>
        </is>
      </c>
      <c r="G14" s="66" t="n">
        <v>1</v>
      </c>
      <c r="H14" s="6" t="inlineStr">
        <is>
          <t>Fast Lønn - Sept 2026 (Handelshøyskolen)</t>
        </is>
      </c>
      <c r="I14" s="6">
        <f>IF(E14=F14, "BRUDD: Egengodkjenning", IF(G14=0, "MANGLER BILAG", "OK"))</f>
        <v/>
      </c>
    </row>
    <row r="15">
      <c r="A15" s="7" t="inlineStr">
        <is>
          <t>TX-9009</t>
        </is>
      </c>
      <c r="B15" s="7" t="inlineStr">
        <is>
          <t>7150</t>
        </is>
      </c>
      <c r="C15" s="6" t="inlineStr">
        <is>
          <t>Utenlandsreise fagkonferanse - Sept 2026 (Teknologi og Realfag)</t>
        </is>
      </c>
      <c r="D15" s="34" t="n">
        <v>19717.25</v>
      </c>
      <c r="E15" s="7" t="inlineStr">
        <is>
          <t>EMP-102</t>
        </is>
      </c>
      <c r="F15" s="7" t="inlineStr">
        <is>
          <t>EMP-110</t>
        </is>
      </c>
      <c r="G15" s="66" t="n">
        <v>1</v>
      </c>
      <c r="H15" s="6" t="inlineStr">
        <is>
          <t>Utenlandsreise fagkonferanse - Sept 2026 (Teknologi og Realfag)</t>
        </is>
      </c>
      <c r="I15" s="6">
        <f>IF(E15=F15, "BRUDD: Egengodkjenning", IF(G15=0, "MANGLER BILAG", "OK"))</f>
        <v/>
      </c>
    </row>
    <row r="16">
      <c r="A16" s="7" t="inlineStr">
        <is>
          <t>TX-9010</t>
        </is>
      </c>
      <c r="B16" s="7" t="inlineStr">
        <is>
          <t>5330</t>
        </is>
      </c>
      <c r="C16" s="6" t="inlineStr">
        <is>
          <t>Sensorhonorarer - Sept 2026 (Helse- og Idrettsvitenskap)</t>
        </is>
      </c>
      <c r="D16" s="34" t="n">
        <v>13873.48</v>
      </c>
      <c r="E16" s="7" t="inlineStr">
        <is>
          <t>EMP-103</t>
        </is>
      </c>
      <c r="F16" s="7" t="inlineStr">
        <is>
          <t>EMP-114</t>
        </is>
      </c>
      <c r="G16" s="66" t="n">
        <v>1</v>
      </c>
      <c r="H16" s="6" t="inlineStr">
        <is>
          <t>Sensorhonorarer - Sept 2026 (Helse- og Idrettsvitenskap)</t>
        </is>
      </c>
      <c r="I16" s="6">
        <f>IF(E16=F16, "BRUDD: Egengodkjenning", IF(G16=0, "MANGLER BILAG", "OK"))</f>
        <v/>
      </c>
    </row>
    <row r="17">
      <c r="A17" s="7" t="inlineStr">
        <is>
          <t>TX-9011</t>
        </is>
      </c>
      <c r="B17" s="7" t="inlineStr">
        <is>
          <t>5000</t>
        </is>
      </c>
      <c r="C17" s="6" t="inlineStr">
        <is>
          <t>Fast Lønn - Sept 2026 (Teknologi og Realfag)</t>
        </is>
      </c>
      <c r="D17" s="34" t="n">
        <v>52415.69</v>
      </c>
      <c r="E17" s="7" t="inlineStr">
        <is>
          <t>EMP-108</t>
        </is>
      </c>
      <c r="F17" s="7" t="inlineStr">
        <is>
          <t>EMP-106</t>
        </is>
      </c>
      <c r="G17" s="66" t="n">
        <v>1</v>
      </c>
      <c r="H17" s="6" t="inlineStr">
        <is>
          <t>Fast Lønn - Sept 2026 (Teknologi og Realfag)</t>
        </is>
      </c>
      <c r="I17" s="6">
        <f>IF(E17=F17, "BRUDD: Egengodkjenning", IF(G17=0, "MANGLER BILAG", "OK"))</f>
        <v/>
      </c>
    </row>
    <row r="18">
      <c r="A18" s="67" t="inlineStr">
        <is>
          <t>TX-9012</t>
        </is>
      </c>
      <c r="B18" s="67" t="inlineStr">
        <is>
          <t>6800</t>
        </is>
      </c>
      <c r="C18" s="19" t="inlineStr">
        <is>
          <t>Kontorrekvisita - Sept 2026 (Helse- og Idrettsvitenskap)</t>
        </is>
      </c>
      <c r="D18" s="72" t="n">
        <v>1656.08</v>
      </c>
      <c r="E18" s="67" t="inlineStr">
        <is>
          <t>EMP-114</t>
        </is>
      </c>
      <c r="F18" s="67" t="inlineStr">
        <is>
          <t>EMP-114</t>
        </is>
      </c>
      <c r="G18" s="69" t="n">
        <v>1</v>
      </c>
      <c r="H18" s="19" t="inlineStr">
        <is>
          <t>Kontorrekvisita - Sept 2026 (Helse- og Idrettsvitenskap)</t>
        </is>
      </c>
      <c r="I18" s="18">
        <f>IF(E18=F18, "BRUDD: Egengodkjenning", IF(G18=0, "MANGLER BILAG", "OK"))</f>
        <v/>
      </c>
    </row>
    <row r="19">
      <c r="A19" s="7" t="inlineStr">
        <is>
          <t>TX-9013</t>
        </is>
      </c>
      <c r="B19" s="7" t="inlineStr">
        <is>
          <t>6800</t>
        </is>
      </c>
      <c r="C19" s="6" t="inlineStr">
        <is>
          <t>Kontorrekvisita - Sept 2026 (Helse- og Idrettsvitenskap)</t>
        </is>
      </c>
      <c r="D19" s="34" t="n">
        <v>1653.4</v>
      </c>
      <c r="E19" s="7" t="inlineStr">
        <is>
          <t>EMP-113</t>
        </is>
      </c>
      <c r="F19" s="7" t="inlineStr">
        <is>
          <t>EMP-112</t>
        </is>
      </c>
      <c r="G19" s="66" t="n">
        <v>1</v>
      </c>
      <c r="H19" s="6" t="inlineStr">
        <is>
          <t>Kontorrekvisita - Sept 2026 (Helse- og Idrettsvitenskap)</t>
        </is>
      </c>
      <c r="I19" s="6">
        <f>IF(E19=F19, "BRUDD: Egengodkjenning", IF(G19=0, "MANGLER BILAG", "OK"))</f>
        <v/>
      </c>
    </row>
    <row r="20">
      <c r="A20" s="7" t="inlineStr">
        <is>
          <t>TX-9014</t>
        </is>
      </c>
      <c r="B20" s="7" t="inlineStr">
        <is>
          <t>7100</t>
        </is>
      </c>
      <c r="C20" s="6" t="inlineStr">
        <is>
          <t>Bilgodtgjørelse feltarbeid - Sept 2026 (Teknologi og Realfag)</t>
        </is>
      </c>
      <c r="D20" s="34" t="n">
        <v>2622.02</v>
      </c>
      <c r="E20" s="7" t="inlineStr">
        <is>
          <t>EMP-103</t>
        </is>
      </c>
      <c r="F20" s="7" t="inlineStr">
        <is>
          <t>EMP-101</t>
        </is>
      </c>
      <c r="G20" s="66" t="n">
        <v>1</v>
      </c>
      <c r="H20" s="6" t="inlineStr">
        <is>
          <t>Bilgodtgjørelse feltarbeid - Sept 2026 (Teknologi og Realfag)</t>
        </is>
      </c>
      <c r="I20" s="6">
        <f>IF(E20=F20, "BRUDD: Egengodkjenning", IF(G20=0, "MANGLER BILAG", "OK"))</f>
        <v/>
      </c>
    </row>
    <row r="21">
      <c r="A21" s="67" t="inlineStr">
        <is>
          <t>TX-9015</t>
        </is>
      </c>
      <c r="B21" s="67" t="inlineStr">
        <is>
          <t>7100</t>
        </is>
      </c>
      <c r="C21" s="19" t="inlineStr">
        <is>
          <t>Bilgodtgjørelse feltarbeid - Sept 2026 (Handelshøyskolen)</t>
        </is>
      </c>
      <c r="D21" s="72" t="n">
        <v>1540.99</v>
      </c>
      <c r="E21" s="67" t="inlineStr">
        <is>
          <t>EMP-103</t>
        </is>
      </c>
      <c r="F21" s="67" t="inlineStr">
        <is>
          <t>EMP-103</t>
        </is>
      </c>
      <c r="G21" s="69" t="n">
        <v>1</v>
      </c>
      <c r="H21" s="19" t="inlineStr">
        <is>
          <t>Bilgodtgjørelse feltarbeid - Sept 2026 (Handelshøyskolen)</t>
        </is>
      </c>
      <c r="I21" s="18">
        <f>IF(E21=F21, "BRUDD: Egengodkjenning", IF(G21=0, "MANGLER BILAG", "OK"))</f>
        <v/>
      </c>
    </row>
    <row r="22">
      <c r="A22" s="7" t="inlineStr">
        <is>
          <t>TX-9016</t>
        </is>
      </c>
      <c r="B22" s="7" t="inlineStr">
        <is>
          <t>3400</t>
        </is>
      </c>
      <c r="C22" s="6" t="inlineStr">
        <is>
          <t>Oppdragsinntekter BOA - Sept 2026 (Fellesadministrasjon)</t>
        </is>
      </c>
      <c r="D22" s="34" t="n">
        <v>-68249.95</v>
      </c>
      <c r="E22" s="7" t="inlineStr">
        <is>
          <t>EMP-108</t>
        </is>
      </c>
      <c r="F22" s="7" t="inlineStr">
        <is>
          <t>EMP-102</t>
        </is>
      </c>
      <c r="G22" s="66" t="n">
        <v>1</v>
      </c>
      <c r="H22" s="6" t="inlineStr">
        <is>
          <t>Oppdragsinntekter BOA - Sept 2026 (Fellesadministrasjon)</t>
        </is>
      </c>
      <c r="I22" s="6">
        <f>IF(E22=F22, "BRUDD: Egengodkjenning", IF(G22=0, "MANGLER BILAG", "OK"))</f>
        <v/>
      </c>
    </row>
    <row r="23">
      <c r="A23" s="7" t="inlineStr">
        <is>
          <t>TX-9017</t>
        </is>
      </c>
      <c r="B23" s="7" t="inlineStr">
        <is>
          <t>6300</t>
        </is>
      </c>
      <c r="C23" s="6" t="inlineStr">
        <is>
          <t>Kontorleie &amp; Strøm - Sept 2026 (Fellesadministrasjon)</t>
        </is>
      </c>
      <c r="D23" s="34" t="n">
        <v>37499.56</v>
      </c>
      <c r="E23" s="7" t="inlineStr">
        <is>
          <t>EMP-106</t>
        </is>
      </c>
      <c r="F23" s="7" t="inlineStr">
        <is>
          <t>EMP-107</t>
        </is>
      </c>
      <c r="G23" s="66" t="n">
        <v>1</v>
      </c>
      <c r="H23" s="6" t="inlineStr">
        <is>
          <t>Kontorleie &amp; Strøm - Sept 2026 (Fellesadministrasjon)</t>
        </is>
      </c>
      <c r="I23" s="6">
        <f>IF(E23=F23, "BRUDD: Egengodkjenning", IF(G23=0, "MANGLER BILAG", "OK"))</f>
        <v/>
      </c>
    </row>
    <row r="24">
      <c r="A24" s="7" t="inlineStr">
        <is>
          <t>TX-9018</t>
        </is>
      </c>
      <c r="B24" s="7" t="inlineStr">
        <is>
          <t>3400</t>
        </is>
      </c>
      <c r="C24" s="6" t="inlineStr">
        <is>
          <t>Oppdragsinntekter BOA - Sept 2026 (Handelshøyskolen)</t>
        </is>
      </c>
      <c r="D24" s="34" t="n">
        <v>-66484.24000000001</v>
      </c>
      <c r="E24" s="7" t="inlineStr">
        <is>
          <t>EMP-106</t>
        </is>
      </c>
      <c r="F24" s="7" t="inlineStr">
        <is>
          <t>EMP-114</t>
        </is>
      </c>
      <c r="G24" s="66" t="n">
        <v>1</v>
      </c>
      <c r="H24" s="6" t="inlineStr">
        <is>
          <t>Oppdragsinntekter BOA - Sept 2026 (Handelshøyskolen)</t>
        </is>
      </c>
      <c r="I24" s="6">
        <f>IF(E24=F24, "BRUDD: Egengodkjenning", IF(G24=0, "MANGLER BILAG", "OK"))</f>
        <v/>
      </c>
    </row>
    <row r="25">
      <c r="A25" s="7" t="inlineStr">
        <is>
          <t>TX-9019</t>
        </is>
      </c>
      <c r="B25" s="7" t="inlineStr">
        <is>
          <t>5330</t>
        </is>
      </c>
      <c r="C25" s="6" t="inlineStr">
        <is>
          <t>Sensorhonorarer - Sept 2026 (Handelshøyskolen)</t>
        </is>
      </c>
      <c r="D25" s="34" t="n">
        <v>14679.81</v>
      </c>
      <c r="E25" s="7" t="inlineStr">
        <is>
          <t>EMP-114</t>
        </is>
      </c>
      <c r="F25" s="7" t="inlineStr">
        <is>
          <t>EMP-101</t>
        </is>
      </c>
      <c r="G25" s="66" t="n">
        <v>1</v>
      </c>
      <c r="H25" s="6" t="inlineStr">
        <is>
          <t>Sensorhonorarer - Sept 2026 (Handelshøyskolen)</t>
        </is>
      </c>
      <c r="I25" s="6">
        <f>IF(E25=F25, "BRUDD: Egengodkjenning", IF(G25=0, "MANGLER BILAG", "OK"))</f>
        <v/>
      </c>
    </row>
    <row r="26">
      <c r="A26" s="7" t="inlineStr">
        <is>
          <t>TX-9020</t>
        </is>
      </c>
      <c r="B26" s="7" t="inlineStr">
        <is>
          <t>6300</t>
        </is>
      </c>
      <c r="C26" s="6" t="inlineStr">
        <is>
          <t>Kontorleie &amp; Strøm - Sept 2026 (Helse- og Idrettsvitenskap)</t>
        </is>
      </c>
      <c r="D26" s="34" t="n">
        <v>40769.1</v>
      </c>
      <c r="E26" s="7" t="inlineStr">
        <is>
          <t>EMP-112</t>
        </is>
      </c>
      <c r="F26" s="7" t="inlineStr">
        <is>
          <t>EMP-107</t>
        </is>
      </c>
      <c r="G26" s="66" t="n">
        <v>1</v>
      </c>
      <c r="H26" s="6" t="inlineStr">
        <is>
          <t>Kontorleie &amp; Strøm - Sept 2026 (Helse- og Idrettsvitenskap)</t>
        </is>
      </c>
      <c r="I26" s="6">
        <f>IF(E26=F26, "BRUDD: Egengodkjenning", IF(G26=0, "MANGLER BILAG", "OK"))</f>
        <v/>
      </c>
    </row>
    <row r="27">
      <c r="A27" s="7" t="inlineStr">
        <is>
          <t>TX-9021</t>
        </is>
      </c>
      <c r="B27" s="7" t="inlineStr">
        <is>
          <t>5330</t>
        </is>
      </c>
      <c r="C27" s="6" t="inlineStr">
        <is>
          <t>Sensorhonorarer - Sept 2026 (Helse- og Idrettsvitenskap)</t>
        </is>
      </c>
      <c r="D27" s="34" t="n">
        <v>14606.23</v>
      </c>
      <c r="E27" s="7" t="inlineStr">
        <is>
          <t>EMP-106</t>
        </is>
      </c>
      <c r="F27" s="7" t="inlineStr">
        <is>
          <t>EMP-110</t>
        </is>
      </c>
      <c r="G27" s="66" t="n">
        <v>1</v>
      </c>
      <c r="H27" s="6" t="inlineStr">
        <is>
          <t>Sensorhonorarer - Sept 2026 (Helse- og Idrettsvitenskap)</t>
        </is>
      </c>
      <c r="I27" s="6">
        <f>IF(E27=F27, "BRUDD: Egengodkjenning", IF(G27=0, "MANGLER BILAG", "OK"))</f>
        <v/>
      </c>
    </row>
    <row r="28">
      <c r="A28" s="7" t="inlineStr">
        <is>
          <t>TX-9022</t>
        </is>
      </c>
      <c r="B28" s="7" t="inlineStr">
        <is>
          <t>7130</t>
        </is>
      </c>
      <c r="C28" s="6" t="inlineStr">
        <is>
          <t>Reiseregning fagsamling - Sept 2026 (Fellesadministrasjon)</t>
        </is>
      </c>
      <c r="D28" s="34" t="n">
        <v>4110.92</v>
      </c>
      <c r="E28" s="7" t="inlineStr">
        <is>
          <t>EMP-105</t>
        </is>
      </c>
      <c r="F28" s="7" t="inlineStr">
        <is>
          <t>EMP-110</t>
        </is>
      </c>
      <c r="G28" s="66" t="n">
        <v>0</v>
      </c>
      <c r="H28" s="6" t="inlineStr">
        <is>
          <t>Reiseregning fagsamling - Sept 2026 (Fellesadministrasjon)</t>
        </is>
      </c>
      <c r="I28" s="6">
        <f>IF(E28=F28, "BRUDD: Egengodkjenning", IF(G28=0, "MANGLER BILAG", "OK"))</f>
        <v/>
      </c>
    </row>
    <row r="29">
      <c r="A29" s="7" t="inlineStr">
        <is>
          <t>TX-9023</t>
        </is>
      </c>
      <c r="B29" s="7" t="inlineStr">
        <is>
          <t>5000</t>
        </is>
      </c>
      <c r="C29" s="6" t="inlineStr">
        <is>
          <t>Fast Lønn - Sept 2026 (Helse- og Idrettsvitenskap)</t>
        </is>
      </c>
      <c r="D29" s="34" t="n">
        <v>33978.54</v>
      </c>
      <c r="E29" s="7" t="inlineStr">
        <is>
          <t>EMP-114</t>
        </is>
      </c>
      <c r="F29" s="7" t="inlineStr">
        <is>
          <t>EMP-107</t>
        </is>
      </c>
      <c r="G29" s="66" t="n">
        <v>1</v>
      </c>
      <c r="H29" s="6" t="inlineStr">
        <is>
          <t>Fast Lønn - Sept 2026 (Helse- og Idrettsvitenskap)</t>
        </is>
      </c>
      <c r="I29" s="6">
        <f>IF(E29=F29, "BRUDD: Egengodkjenning", IF(G29=0, "MANGLER BILAG", "OK"))</f>
        <v/>
      </c>
    </row>
    <row r="30">
      <c r="A30" s="7" t="inlineStr">
        <is>
          <t>TX-9024</t>
        </is>
      </c>
      <c r="B30" s="7" t="inlineStr">
        <is>
          <t>6300</t>
        </is>
      </c>
      <c r="C30" s="6" t="inlineStr">
        <is>
          <t>Kontorleie &amp; Strøm - Sept 2026 (Fellesadministrasjon)</t>
        </is>
      </c>
      <c r="D30" s="34" t="n">
        <v>26674.19</v>
      </c>
      <c r="E30" s="7" t="inlineStr">
        <is>
          <t>EMP-113</t>
        </is>
      </c>
      <c r="F30" s="7" t="inlineStr">
        <is>
          <t>EMP-110</t>
        </is>
      </c>
      <c r="G30" s="66" t="n">
        <v>1</v>
      </c>
      <c r="H30" s="6" t="inlineStr">
        <is>
          <t>Kontorleie &amp; Strøm - Sept 2026 (Fellesadministrasjon)</t>
        </is>
      </c>
      <c r="I30" s="6">
        <f>IF(E30=F30, "BRUDD: Egengodkjenning", IF(G30=0, "MANGLER BILAG", "OK"))</f>
        <v/>
      </c>
    </row>
    <row r="31">
      <c r="A31" s="7" t="inlineStr">
        <is>
          <t>TX-9025</t>
        </is>
      </c>
      <c r="B31" s="7" t="inlineStr">
        <is>
          <t>5000</t>
        </is>
      </c>
      <c r="C31" s="6" t="inlineStr">
        <is>
          <t>Fast Lønn - Sept 2026 (Fellesadministrasjon)</t>
        </is>
      </c>
      <c r="D31" s="34" t="n">
        <v>47562.74</v>
      </c>
      <c r="E31" s="7" t="inlineStr">
        <is>
          <t>EMP-107</t>
        </is>
      </c>
      <c r="F31" s="7" t="inlineStr">
        <is>
          <t>EMP-101</t>
        </is>
      </c>
      <c r="G31" s="66" t="n">
        <v>1</v>
      </c>
      <c r="H31" s="6" t="inlineStr">
        <is>
          <t>Fast Lønn - Sept 2026 (Fellesadministrasjon)</t>
        </is>
      </c>
      <c r="I31" s="6">
        <f>IF(E31=F31, "BRUDD: Egengodkjenning", IF(G31=0, "MANGLER BILAG", "OK"))</f>
        <v/>
      </c>
    </row>
    <row r="32">
      <c r="A32" s="7" t="inlineStr">
        <is>
          <t>TX-9026</t>
        </is>
      </c>
      <c r="B32" s="7" t="inlineStr">
        <is>
          <t>5330</t>
        </is>
      </c>
      <c r="C32" s="6" t="inlineStr">
        <is>
          <t>Sensorhonorarer - Sept 2026 (Fellesadministrasjon)</t>
        </is>
      </c>
      <c r="D32" s="34" t="n">
        <v>10720.77</v>
      </c>
      <c r="E32" s="7" t="inlineStr">
        <is>
          <t>EMP-106</t>
        </is>
      </c>
      <c r="F32" s="7" t="inlineStr">
        <is>
          <t>EMP-107</t>
        </is>
      </c>
      <c r="G32" s="66" t="n">
        <v>1</v>
      </c>
      <c r="H32" s="6" t="inlineStr">
        <is>
          <t>Sensorhonorarer - Sept 2026 (Fellesadministrasjon)</t>
        </is>
      </c>
      <c r="I32" s="6">
        <f>IF(E32=F32, "BRUDD: Egengodkjenning", IF(G32=0, "MANGLER BILAG", "OK"))</f>
        <v/>
      </c>
    </row>
    <row r="33">
      <c r="A33" s="7" t="inlineStr">
        <is>
          <t>TX-9027</t>
        </is>
      </c>
      <c r="B33" s="7" t="inlineStr">
        <is>
          <t>3400</t>
        </is>
      </c>
      <c r="C33" s="6" t="inlineStr">
        <is>
          <t>Oppdragsinntekter BOA - Sept 2026 (Fellesadministrasjon)</t>
        </is>
      </c>
      <c r="D33" s="34" t="n">
        <v>-63625.84</v>
      </c>
      <c r="E33" s="7" t="inlineStr">
        <is>
          <t>EMP-113</t>
        </is>
      </c>
      <c r="F33" s="7" t="inlineStr">
        <is>
          <t>EMP-103</t>
        </is>
      </c>
      <c r="G33" s="66" t="n">
        <v>1</v>
      </c>
      <c r="H33" s="6" t="inlineStr">
        <is>
          <t>Oppdragsinntekter BOA - Sept 2026 (Fellesadministrasjon)</t>
        </is>
      </c>
      <c r="I33" s="6">
        <f>IF(E33=F33, "BRUDD: Egengodkjenning", IF(G33=0, "MANGLER BILAG", "OK"))</f>
        <v/>
      </c>
    </row>
    <row r="34">
      <c r="A34" s="67" t="inlineStr">
        <is>
          <t>TX-9028</t>
        </is>
      </c>
      <c r="B34" s="67" t="inlineStr">
        <is>
          <t>6300</t>
        </is>
      </c>
      <c r="C34" s="19" t="inlineStr">
        <is>
          <t>Kontorleie &amp; Strøm - Sept 2026 (Helse- og Idrettsvitenskap)</t>
        </is>
      </c>
      <c r="D34" s="72" t="n">
        <v>29647.66</v>
      </c>
      <c r="E34" s="67" t="inlineStr">
        <is>
          <t>EMP-110</t>
        </is>
      </c>
      <c r="F34" s="67" t="inlineStr">
        <is>
          <t>EMP-110</t>
        </is>
      </c>
      <c r="G34" s="69" t="n">
        <v>1</v>
      </c>
      <c r="H34" s="19" t="inlineStr">
        <is>
          <t>Kontorleie &amp; Strøm - Sept 2026 (Helse- og Idrettsvitenskap)</t>
        </is>
      </c>
      <c r="I34" s="18">
        <f>IF(E34=F34, "BRUDD: Egengodkjenning", IF(G34=0, "MANGLER BILAG", "OK"))</f>
        <v/>
      </c>
    </row>
    <row r="35">
      <c r="A35" s="7" t="inlineStr">
        <is>
          <t>TX-9029</t>
        </is>
      </c>
      <c r="B35" s="7" t="inlineStr">
        <is>
          <t>7130</t>
        </is>
      </c>
      <c r="C35" s="6" t="inlineStr">
        <is>
          <t>Reiseregning fagsamling - Sept 2026 (Handelshøyskolen)</t>
        </is>
      </c>
      <c r="D35" s="34" t="n">
        <v>6023.57</v>
      </c>
      <c r="E35" s="7" t="inlineStr">
        <is>
          <t>EMP-106</t>
        </is>
      </c>
      <c r="F35" s="7" t="inlineStr">
        <is>
          <t>EMP-102</t>
        </is>
      </c>
      <c r="G35" s="66" t="n">
        <v>1</v>
      </c>
      <c r="H35" s="6" t="inlineStr">
        <is>
          <t>Reiseregning fagsamling - Sept 2026 (Handelshøyskolen)</t>
        </is>
      </c>
      <c r="I35" s="6">
        <f>IF(E35=F35, "BRUDD: Egengodkjenning", IF(G35=0, "MANGLER BILAG", "OK"))</f>
        <v/>
      </c>
    </row>
    <row r="36">
      <c r="A36" s="67" t="inlineStr">
        <is>
          <t>TX-9030</t>
        </is>
      </c>
      <c r="B36" s="67" t="inlineStr">
        <is>
          <t>3400</t>
        </is>
      </c>
      <c r="C36" s="19" t="inlineStr">
        <is>
          <t>Oppdragsinntekter BOA - Sept 2026 (Handelshøyskolen)</t>
        </is>
      </c>
      <c r="D36" s="72" t="n">
        <v>-66317.71000000001</v>
      </c>
      <c r="E36" s="67" t="inlineStr">
        <is>
          <t>EMP-101</t>
        </is>
      </c>
      <c r="F36" s="67" t="inlineStr">
        <is>
          <t>EMP-101</t>
        </is>
      </c>
      <c r="G36" s="69" t="n">
        <v>1</v>
      </c>
      <c r="H36" s="19" t="inlineStr">
        <is>
          <t>Oppdragsinntekter BOA - Sept 2026 (Handelshøyskolen)</t>
        </is>
      </c>
      <c r="I36" s="18">
        <f>IF(E36=F36, "BRUDD: Egengodkjenning", IF(G36=0, "MANGLER BILAG", "OK"))</f>
        <v/>
      </c>
    </row>
    <row r="37">
      <c r="A37" s="7" t="inlineStr">
        <is>
          <t>TX-9031</t>
        </is>
      </c>
      <c r="B37" s="7" t="inlineStr">
        <is>
          <t>5000</t>
        </is>
      </c>
      <c r="C37" s="6" t="inlineStr">
        <is>
          <t>Fast Lønn - Sept 2026 (Handelshøyskolen)</t>
        </is>
      </c>
      <c r="D37" s="34" t="n">
        <v>40275.43</v>
      </c>
      <c r="E37" s="7" t="inlineStr">
        <is>
          <t>EMP-105</t>
        </is>
      </c>
      <c r="F37" s="7" t="inlineStr">
        <is>
          <t>EMP-110</t>
        </is>
      </c>
      <c r="G37" s="66" t="n">
        <v>1</v>
      </c>
      <c r="H37" s="6" t="inlineStr">
        <is>
          <t>Fast Lønn - Sept 2026 (Handelshøyskolen)</t>
        </is>
      </c>
      <c r="I37" s="6">
        <f>IF(E37=F37, "BRUDD: Egengodkjenning", IF(G37=0, "MANGLER BILAG", "OK"))</f>
        <v/>
      </c>
    </row>
    <row r="38">
      <c r="A38" s="7" t="inlineStr">
        <is>
          <t>TX-9032</t>
        </is>
      </c>
      <c r="B38" s="7" t="inlineStr">
        <is>
          <t>6300</t>
        </is>
      </c>
      <c r="C38" s="6" t="inlineStr">
        <is>
          <t>Kontorleie &amp; Strøm - Sept 2026 (Fellesadministrasjon)</t>
        </is>
      </c>
      <c r="D38" s="34" t="n">
        <v>35790.77</v>
      </c>
      <c r="E38" s="7" t="inlineStr">
        <is>
          <t>EMP-111</t>
        </is>
      </c>
      <c r="F38" s="7" t="inlineStr">
        <is>
          <t>EMP-107</t>
        </is>
      </c>
      <c r="G38" s="66" t="n">
        <v>1</v>
      </c>
      <c r="H38" s="6" t="inlineStr">
        <is>
          <t>Kontorleie &amp; Strøm - Sept 2026 (Fellesadministrasjon)</t>
        </is>
      </c>
      <c r="I38" s="6">
        <f>IF(E38=F38, "BRUDD: Egengodkjenning", IF(G38=0, "MANGLER BILAG", "OK"))</f>
        <v/>
      </c>
    </row>
    <row r="39">
      <c r="A39" s="7" t="inlineStr">
        <is>
          <t>TX-9033</t>
        </is>
      </c>
      <c r="B39" s="7" t="inlineStr">
        <is>
          <t>6800</t>
        </is>
      </c>
      <c r="C39" s="6" t="inlineStr">
        <is>
          <t>Kontorrekvisita - Sept 2026 (Handelshøyskolen)</t>
        </is>
      </c>
      <c r="D39" s="34" t="n">
        <v>1636.17</v>
      </c>
      <c r="E39" s="7" t="inlineStr">
        <is>
          <t>EMP-107</t>
        </is>
      </c>
      <c r="F39" s="7" t="inlineStr">
        <is>
          <t>EMP-104</t>
        </is>
      </c>
      <c r="G39" s="66" t="n">
        <v>1</v>
      </c>
      <c r="H39" s="6" t="inlineStr">
        <is>
          <t>Kontorrekvisita - Sept 2026 (Handelshøyskolen)</t>
        </is>
      </c>
      <c r="I39" s="6">
        <f>IF(E39=F39, "BRUDD: Egengodkjenning", IF(G39=0, "MANGLER BILAG", "OK"))</f>
        <v/>
      </c>
    </row>
    <row r="40">
      <c r="A40" s="7" t="inlineStr">
        <is>
          <t>TX-9034</t>
        </is>
      </c>
      <c r="B40" s="7" t="inlineStr">
        <is>
          <t>3400</t>
        </is>
      </c>
      <c r="C40" s="6" t="inlineStr">
        <is>
          <t>Oppdragsinntekter BOA - Sept 2026 (Handelshøyskolen)</t>
        </is>
      </c>
      <c r="D40" s="34" t="n">
        <v>-50275.78</v>
      </c>
      <c r="E40" s="7" t="inlineStr">
        <is>
          <t>EMP-111</t>
        </is>
      </c>
      <c r="F40" s="7" t="inlineStr">
        <is>
          <t>EMP-114</t>
        </is>
      </c>
      <c r="G40" s="66" t="n">
        <v>1</v>
      </c>
      <c r="H40" s="6" t="inlineStr">
        <is>
          <t>Oppdragsinntekter BOA - Sept 2026 (Handelshøyskolen)</t>
        </is>
      </c>
      <c r="I40" s="6">
        <f>IF(E40=F40, "BRUDD: Egengodkjenning", IF(G40=0, "MANGLER BILAG", "OK"))</f>
        <v/>
      </c>
    </row>
    <row r="41">
      <c r="A41" s="67" t="inlineStr">
        <is>
          <t>TX-9035</t>
        </is>
      </c>
      <c r="B41" s="67" t="inlineStr">
        <is>
          <t>5330</t>
        </is>
      </c>
      <c r="C41" s="19" t="inlineStr">
        <is>
          <t>Sensorhonorarer - Sept 2026 (Teknologi og Realfag)</t>
        </is>
      </c>
      <c r="D41" s="72" t="n">
        <v>12088.76</v>
      </c>
      <c r="E41" s="67" t="inlineStr">
        <is>
          <t>EMP-113</t>
        </is>
      </c>
      <c r="F41" s="67" t="inlineStr">
        <is>
          <t>EMP-113</t>
        </is>
      </c>
      <c r="G41" s="69" t="n">
        <v>1</v>
      </c>
      <c r="H41" s="19" t="inlineStr">
        <is>
          <t>Sensorhonorarer - Sept 2026 (Teknologi og Realfag)</t>
        </is>
      </c>
      <c r="I41" s="18">
        <f>IF(E41=F41, "BRUDD: Egengodkjenning", IF(G41=0, "MANGLER BILAG", "OK"))</f>
        <v/>
      </c>
    </row>
    <row r="42">
      <c r="A42" s="7" t="inlineStr">
        <is>
          <t>TX-9036</t>
        </is>
      </c>
      <c r="B42" s="7" t="inlineStr">
        <is>
          <t>7130</t>
        </is>
      </c>
      <c r="C42" s="6" t="inlineStr">
        <is>
          <t>Reiseregning fagsamling - Sept 2026 (Teknologi og Realfag)</t>
        </is>
      </c>
      <c r="D42" s="34" t="n">
        <v>3924.37</v>
      </c>
      <c r="E42" s="7" t="inlineStr">
        <is>
          <t>EMP-104</t>
        </is>
      </c>
      <c r="F42" s="7" t="inlineStr">
        <is>
          <t>EMP-106</t>
        </is>
      </c>
      <c r="G42" s="66" t="n">
        <v>1</v>
      </c>
      <c r="H42" s="6" t="inlineStr">
        <is>
          <t>Reiseregning fagsamling - Sept 2026 (Teknologi og Realfag)</t>
        </is>
      </c>
      <c r="I42" s="6">
        <f>IF(E42=F42, "BRUDD: Egengodkjenning", IF(G42=0, "MANGLER BILAG", "OK"))</f>
        <v/>
      </c>
    </row>
    <row r="43">
      <c r="A43" s="7" t="inlineStr">
        <is>
          <t>TX-9037</t>
        </is>
      </c>
      <c r="B43" s="7" t="inlineStr">
        <is>
          <t>6800</t>
        </is>
      </c>
      <c r="C43" s="6" t="inlineStr">
        <is>
          <t>Kontorrekvisita - Sept 2026 (Helse- og Idrettsvitenskap)</t>
        </is>
      </c>
      <c r="D43" s="34" t="n">
        <v>1409.25</v>
      </c>
      <c r="E43" s="7" t="inlineStr">
        <is>
          <t>EMP-108</t>
        </is>
      </c>
      <c r="F43" s="7" t="inlineStr">
        <is>
          <t>EMP-106</t>
        </is>
      </c>
      <c r="G43" s="66" t="n">
        <v>1</v>
      </c>
      <c r="H43" s="6" t="inlineStr">
        <is>
          <t>Kontorrekvisita - Sept 2026 (Helse- og Idrettsvitenskap)</t>
        </is>
      </c>
      <c r="I43" s="6">
        <f>IF(E43=F43, "BRUDD: Egengodkjenning", IF(G43=0, "MANGLER BILAG", "OK"))</f>
        <v/>
      </c>
    </row>
    <row r="44">
      <c r="A44" s="7" t="inlineStr">
        <is>
          <t>TX-9038</t>
        </is>
      </c>
      <c r="B44" s="7" t="inlineStr">
        <is>
          <t>7150</t>
        </is>
      </c>
      <c r="C44" s="6" t="inlineStr">
        <is>
          <t>Utenlandsreise fagkonferanse - Sept 2026 (Helse- og Idrettsvitenskap)</t>
        </is>
      </c>
      <c r="D44" s="34" t="n">
        <v>23189.63</v>
      </c>
      <c r="E44" s="7" t="inlineStr">
        <is>
          <t>EMP-109</t>
        </is>
      </c>
      <c r="F44" s="7" t="inlineStr">
        <is>
          <t>EMP-105</t>
        </is>
      </c>
      <c r="G44" s="66" t="n">
        <v>1</v>
      </c>
      <c r="H44" s="6" t="inlineStr">
        <is>
          <t>Utenlandsreise fagkonferanse - Sept 2026 (Helse- og Idrettsvitenskap)</t>
        </is>
      </c>
      <c r="I44" s="6">
        <f>IF(E44=F44, "BRUDD: Egengodkjenning", IF(G44=0, "MANGLER BILAG", "OK"))</f>
        <v/>
      </c>
    </row>
    <row r="45">
      <c r="A45" s="7" t="inlineStr">
        <is>
          <t>TX-9039</t>
        </is>
      </c>
      <c r="B45" s="7" t="inlineStr">
        <is>
          <t>6300</t>
        </is>
      </c>
      <c r="C45" s="6" t="inlineStr">
        <is>
          <t>Kontorleie &amp; Strøm - Sept 2026 (Fellesadministrasjon)</t>
        </is>
      </c>
      <c r="D45" s="34" t="n">
        <v>26748.68</v>
      </c>
      <c r="E45" s="7" t="inlineStr">
        <is>
          <t>EMP-104</t>
        </is>
      </c>
      <c r="F45" s="7" t="inlineStr">
        <is>
          <t>EMP-106</t>
        </is>
      </c>
      <c r="G45" s="66" t="n">
        <v>1</v>
      </c>
      <c r="H45" s="6" t="inlineStr">
        <is>
          <t>Kontorleie &amp; Strøm - Sept 2026 (Fellesadministrasjon)</t>
        </is>
      </c>
      <c r="I45" s="6">
        <f>IF(E45=F45, "BRUDD: Egengodkjenning", IF(G45=0, "MANGLER BILAG", "OK"))</f>
        <v/>
      </c>
    </row>
    <row r="46">
      <c r="A46" s="7" t="inlineStr">
        <is>
          <t>TX-9040</t>
        </is>
      </c>
      <c r="B46" s="7" t="inlineStr">
        <is>
          <t>3400</t>
        </is>
      </c>
      <c r="C46" s="6" t="inlineStr">
        <is>
          <t>Oppdragsinntekter BOA - Sept 2026 (Teknologi og Realfag)</t>
        </is>
      </c>
      <c r="D46" s="34" t="n">
        <v>-46096.77</v>
      </c>
      <c r="E46" s="7" t="inlineStr">
        <is>
          <t>EMP-111</t>
        </is>
      </c>
      <c r="F46" s="7" t="inlineStr">
        <is>
          <t>EMP-110</t>
        </is>
      </c>
      <c r="G46" s="66" t="n">
        <v>1</v>
      </c>
      <c r="H46" s="6" t="inlineStr">
        <is>
          <t>Oppdragsinntekter BOA - Sept 2026 (Teknologi og Realfag)</t>
        </is>
      </c>
      <c r="I46" s="6">
        <f>IF(E46=F46, "BRUDD: Egengodkjenning", IF(G46=0, "MANGLER BILAG", "OK"))</f>
        <v/>
      </c>
    </row>
    <row r="47">
      <c r="A47" s="67" t="inlineStr">
        <is>
          <t>TX-9041</t>
        </is>
      </c>
      <c r="B47" s="67" t="inlineStr">
        <is>
          <t>7130</t>
        </is>
      </c>
      <c r="C47" s="19" t="inlineStr">
        <is>
          <t>Reiseregning fagsamling - Sept 2026 (Handelshøyskolen)</t>
        </is>
      </c>
      <c r="D47" s="72" t="n">
        <v>4455.32</v>
      </c>
      <c r="E47" s="67" t="inlineStr">
        <is>
          <t>EMP-104</t>
        </is>
      </c>
      <c r="F47" s="67" t="inlineStr">
        <is>
          <t>EMP-104</t>
        </is>
      </c>
      <c r="G47" s="69" t="n">
        <v>1</v>
      </c>
      <c r="H47" s="19" t="inlineStr">
        <is>
          <t>Reiseregning fagsamling - Sept 2026 (Handelshøyskolen)</t>
        </is>
      </c>
      <c r="I47" s="18">
        <f>IF(E47=F47, "BRUDD: Egengodkjenning", IF(G47=0, "MANGLER BILAG", "OK"))</f>
        <v/>
      </c>
    </row>
    <row r="48">
      <c r="A48" s="7" t="inlineStr">
        <is>
          <t>TX-9042</t>
        </is>
      </c>
      <c r="B48" s="7" t="inlineStr">
        <is>
          <t>7130</t>
        </is>
      </c>
      <c r="C48" s="6" t="inlineStr">
        <is>
          <t>Reiseregning fagsamling - Sept 2026 (Teknologi og Realfag)</t>
        </is>
      </c>
      <c r="D48" s="34" t="n">
        <v>6115.09</v>
      </c>
      <c r="E48" s="7" t="inlineStr">
        <is>
          <t>EMP-112</t>
        </is>
      </c>
      <c r="F48" s="7" t="inlineStr">
        <is>
          <t>EMP-101</t>
        </is>
      </c>
      <c r="G48" s="66" t="n">
        <v>1</v>
      </c>
      <c r="H48" s="6" t="inlineStr">
        <is>
          <t>Reiseregning fagsamling - Sept 2026 (Teknologi og Realfag)</t>
        </is>
      </c>
      <c r="I48" s="6">
        <f>IF(E48=F48, "BRUDD: Egengodkjenning", IF(G48=0, "MANGLER BILAG", "OK"))</f>
        <v/>
      </c>
    </row>
    <row r="49">
      <c r="A49" s="7" t="inlineStr">
        <is>
          <t>TX-9043</t>
        </is>
      </c>
      <c r="B49" s="7" t="inlineStr">
        <is>
          <t>7130</t>
        </is>
      </c>
      <c r="C49" s="6" t="inlineStr">
        <is>
          <t>Reiseregning fagsamling - Sept 2026 (Teknologi og Realfag)</t>
        </is>
      </c>
      <c r="D49" s="34" t="n">
        <v>3974.75</v>
      </c>
      <c r="E49" s="7" t="inlineStr">
        <is>
          <t>EMP-111</t>
        </is>
      </c>
      <c r="F49" s="7" t="inlineStr">
        <is>
          <t>EMP-112</t>
        </is>
      </c>
      <c r="G49" s="66" t="n">
        <v>1</v>
      </c>
      <c r="H49" s="6" t="inlineStr">
        <is>
          <t>Reiseregning fagsamling - Sept 2026 (Teknologi og Realfag)</t>
        </is>
      </c>
      <c r="I49" s="6">
        <f>IF(E49=F49, "BRUDD: Egengodkjenning", IF(G49=0, "MANGLER BILAG", "OK"))</f>
        <v/>
      </c>
    </row>
    <row r="50">
      <c r="A50" s="7" t="inlineStr">
        <is>
          <t>TX-9044</t>
        </is>
      </c>
      <c r="B50" s="7" t="inlineStr">
        <is>
          <t>3400</t>
        </is>
      </c>
      <c r="C50" s="6" t="inlineStr">
        <is>
          <t>Oppdragsinntekter BOA - Sept 2026 (Teknologi og Realfag)</t>
        </is>
      </c>
      <c r="D50" s="34" t="n">
        <v>-46628.5</v>
      </c>
      <c r="E50" s="7" t="inlineStr">
        <is>
          <t>EMP-102</t>
        </is>
      </c>
      <c r="F50" s="7" t="inlineStr">
        <is>
          <t>EMP-101</t>
        </is>
      </c>
      <c r="G50" s="66" t="n">
        <v>1</v>
      </c>
      <c r="H50" s="6" t="inlineStr">
        <is>
          <t>Oppdragsinntekter BOA - Sept 2026 (Teknologi og Realfag)</t>
        </is>
      </c>
      <c r="I50" s="6">
        <f>IF(E50=F50, "BRUDD: Egengodkjenning", IF(G50=0, "MANGLER BILAG", "OK"))</f>
        <v/>
      </c>
    </row>
    <row r="51">
      <c r="A51" s="7" t="inlineStr">
        <is>
          <t>TX-9045</t>
        </is>
      </c>
      <c r="B51" s="7" t="inlineStr">
        <is>
          <t>5330</t>
        </is>
      </c>
      <c r="C51" s="6" t="inlineStr">
        <is>
          <t>Sensorhonorarer - Sept 2026 (Handelshøyskolen)</t>
        </is>
      </c>
      <c r="D51" s="34" t="n">
        <v>12140.21</v>
      </c>
      <c r="E51" s="7" t="inlineStr">
        <is>
          <t>EMP-112</t>
        </is>
      </c>
      <c r="F51" s="7" t="inlineStr">
        <is>
          <t>EMP-111</t>
        </is>
      </c>
      <c r="G51" s="66" t="n">
        <v>1</v>
      </c>
      <c r="H51" s="6" t="inlineStr">
        <is>
          <t>Sensorhonorarer - Sept 2026 (Handelshøyskolen)</t>
        </is>
      </c>
      <c r="I51" s="6">
        <f>IF(E51=F51, "BRUDD: Egengodkjenning", IF(G51=0, "MANGLER BILAG", "OK"))</f>
        <v/>
      </c>
    </row>
    <row r="52">
      <c r="A52" s="7" t="inlineStr">
        <is>
          <t>TX-9046</t>
        </is>
      </c>
      <c r="B52" s="7" t="inlineStr">
        <is>
          <t>6800</t>
        </is>
      </c>
      <c r="C52" s="6" t="inlineStr">
        <is>
          <t>Kontorrekvisita - Sept 2026 (Handelshøyskolen)</t>
        </is>
      </c>
      <c r="D52" s="34" t="n">
        <v>2296.11</v>
      </c>
      <c r="E52" s="7" t="inlineStr">
        <is>
          <t>EMP-111</t>
        </is>
      </c>
      <c r="F52" s="7" t="inlineStr">
        <is>
          <t>EMP-112</t>
        </is>
      </c>
      <c r="G52" s="66" t="n">
        <v>1</v>
      </c>
      <c r="H52" s="6" t="inlineStr">
        <is>
          <t>Kontorrekvisita - Sept 2026 (Handelshøyskolen)</t>
        </is>
      </c>
      <c r="I52" s="6">
        <f>IF(E52=F52, "BRUDD: Egengodkjenning", IF(G52=0, "MANGLER BILAG", "OK"))</f>
        <v/>
      </c>
    </row>
    <row r="53">
      <c r="A53" s="7" t="inlineStr">
        <is>
          <t>TX-9047</t>
        </is>
      </c>
      <c r="B53" s="7" t="inlineStr">
        <is>
          <t>5000</t>
        </is>
      </c>
      <c r="C53" s="6" t="inlineStr">
        <is>
          <t>Fast Lønn - Sept 2026 (Handelshøyskolen)</t>
        </is>
      </c>
      <c r="D53" s="34" t="n">
        <v>41503.99</v>
      </c>
      <c r="E53" s="7" t="inlineStr">
        <is>
          <t>EMP-107</t>
        </is>
      </c>
      <c r="F53" s="7" t="inlineStr">
        <is>
          <t>EMP-102</t>
        </is>
      </c>
      <c r="G53" s="66" t="n">
        <v>1</v>
      </c>
      <c r="H53" s="6" t="inlineStr">
        <is>
          <t>Fast Lønn - Sept 2026 (Handelshøyskolen)</t>
        </is>
      </c>
      <c r="I53" s="6">
        <f>IF(E53=F53, "BRUDD: Egengodkjenning", IF(G53=0, "MANGLER BILAG", "OK"))</f>
        <v/>
      </c>
    </row>
    <row r="54">
      <c r="A54" s="7" t="inlineStr">
        <is>
          <t>TX-9048</t>
        </is>
      </c>
      <c r="B54" s="7" t="inlineStr">
        <is>
          <t>6800</t>
        </is>
      </c>
      <c r="C54" s="6" t="inlineStr">
        <is>
          <t>Kontorrekvisita - Sept 2026 (Teknologi og Realfag)</t>
        </is>
      </c>
      <c r="D54" s="34" t="n">
        <v>1726.83</v>
      </c>
      <c r="E54" s="7" t="inlineStr">
        <is>
          <t>EMP-105</t>
        </is>
      </c>
      <c r="F54" s="7" t="inlineStr">
        <is>
          <t>EMP-103</t>
        </is>
      </c>
      <c r="G54" s="66" t="n">
        <v>1</v>
      </c>
      <c r="H54" s="6" t="inlineStr">
        <is>
          <t>Kontorrekvisita - Sept 2026 (Teknologi og Realfag)</t>
        </is>
      </c>
      <c r="I54" s="6">
        <f>IF(E54=F54, "BRUDD: Egengodkjenning", IF(G54=0, "MANGLER BILAG", "OK"))</f>
        <v/>
      </c>
    </row>
    <row r="55">
      <c r="A55" s="67" t="inlineStr">
        <is>
          <t>TX-9049</t>
        </is>
      </c>
      <c r="B55" s="67" t="inlineStr">
        <is>
          <t>6300</t>
        </is>
      </c>
      <c r="C55" s="19" t="inlineStr">
        <is>
          <t>Kontorleie &amp; Strøm - Sept 2026 (Fellesadministrasjon)</t>
        </is>
      </c>
      <c r="D55" s="72" t="n">
        <v>31478.39</v>
      </c>
      <c r="E55" s="67" t="inlineStr">
        <is>
          <t>EMP-108</t>
        </is>
      </c>
      <c r="F55" s="67" t="inlineStr">
        <is>
          <t>EMP-108</t>
        </is>
      </c>
      <c r="G55" s="69" t="n">
        <v>1</v>
      </c>
      <c r="H55" s="19" t="inlineStr">
        <is>
          <t>Kontorleie &amp; Strøm - Sept 2026 (Fellesadministrasjon)</t>
        </is>
      </c>
      <c r="I55" s="18">
        <f>IF(E55=F55, "BRUDD: Egengodkjenning", IF(G55=0, "MANGLER BILAG", "OK"))</f>
        <v/>
      </c>
    </row>
    <row r="56">
      <c r="A56" s="7" t="inlineStr">
        <is>
          <t>TX-9050</t>
        </is>
      </c>
      <c r="B56" s="7" t="inlineStr">
        <is>
          <t>6300</t>
        </is>
      </c>
      <c r="C56" s="6" t="inlineStr">
        <is>
          <t>Kontorleie &amp; Strøm - Sept 2026 (Helse- og Idrettsvitenskap)</t>
        </is>
      </c>
      <c r="D56" s="34" t="n">
        <v>29630.96</v>
      </c>
      <c r="E56" s="7" t="inlineStr">
        <is>
          <t>EMP-109</t>
        </is>
      </c>
      <c r="F56" s="7" t="inlineStr">
        <is>
          <t>EMP-105</t>
        </is>
      </c>
      <c r="G56" s="66" t="n">
        <v>1</v>
      </c>
      <c r="H56" s="6" t="inlineStr">
        <is>
          <t>Kontorleie &amp; Strøm - Sept 2026 (Helse- og Idrettsvitenskap)</t>
        </is>
      </c>
      <c r="I56" s="6">
        <f>IF(E56=F56, "BRUDD: Egengodkjenning", IF(G56=0, "MANGLER BILAG", "OK"))</f>
        <v/>
      </c>
    </row>
    <row r="57">
      <c r="A57" s="7" t="inlineStr">
        <is>
          <t>TX-9051</t>
        </is>
      </c>
      <c r="B57" s="7" t="inlineStr">
        <is>
          <t>5330</t>
        </is>
      </c>
      <c r="C57" s="6" t="inlineStr">
        <is>
          <t>Sensorhonorarer - Sept 2026 (Handelshøyskolen)</t>
        </is>
      </c>
      <c r="D57" s="34" t="n">
        <v>14965.63</v>
      </c>
      <c r="E57" s="7" t="inlineStr">
        <is>
          <t>EMP-112</t>
        </is>
      </c>
      <c r="F57" s="7" t="inlineStr">
        <is>
          <t>EMP-101</t>
        </is>
      </c>
      <c r="G57" s="66" t="n">
        <v>1</v>
      </c>
      <c r="H57" s="6" t="inlineStr">
        <is>
          <t>Sensorhonorarer - Sept 2026 (Handelshøyskolen)</t>
        </is>
      </c>
      <c r="I57" s="6">
        <f>IF(E57=F57, "BRUDD: Egengodkjenning", IF(G57=0, "MANGLER BILAG", "OK"))</f>
        <v/>
      </c>
    </row>
    <row r="58">
      <c r="A58" s="7" t="inlineStr">
        <is>
          <t>TX-9052</t>
        </is>
      </c>
      <c r="B58" s="7" t="inlineStr">
        <is>
          <t>5330</t>
        </is>
      </c>
      <c r="C58" s="6" t="inlineStr">
        <is>
          <t>Sensorhonorarer - Sept 2026 (Fellesadministrasjon)</t>
        </is>
      </c>
      <c r="D58" s="34" t="n">
        <v>10475.13</v>
      </c>
      <c r="E58" s="7" t="inlineStr">
        <is>
          <t>EMP-103</t>
        </is>
      </c>
      <c r="F58" s="7" t="inlineStr">
        <is>
          <t>EMP-108</t>
        </is>
      </c>
      <c r="G58" s="66" t="n">
        <v>1</v>
      </c>
      <c r="H58" s="6" t="inlineStr">
        <is>
          <t>Sensorhonorarer - Sept 2026 (Fellesadministrasjon)</t>
        </is>
      </c>
      <c r="I58" s="6">
        <f>IF(E58=F58, "BRUDD: Egengodkjenning", IF(G58=0, "MANGLER BILAG", "OK"))</f>
        <v/>
      </c>
    </row>
    <row r="59">
      <c r="A59" s="67" t="inlineStr">
        <is>
          <t>TX-9053</t>
        </is>
      </c>
      <c r="B59" s="67" t="inlineStr">
        <is>
          <t>6300</t>
        </is>
      </c>
      <c r="C59" s="19" t="inlineStr">
        <is>
          <t>Kontorleie &amp; Strøm - Sept 2026 (Fellesadministrasjon)</t>
        </is>
      </c>
      <c r="D59" s="72" t="n">
        <v>43780.71</v>
      </c>
      <c r="E59" s="67" t="inlineStr">
        <is>
          <t>EMP-110</t>
        </is>
      </c>
      <c r="F59" s="67" t="inlineStr">
        <is>
          <t>EMP-110</t>
        </is>
      </c>
      <c r="G59" s="69" t="n">
        <v>1</v>
      </c>
      <c r="H59" s="19" t="inlineStr">
        <is>
          <t>Kontorleie &amp; Strøm - Sept 2026 (Fellesadministrasjon)</t>
        </is>
      </c>
      <c r="I59" s="18">
        <f>IF(E59=F59, "BRUDD: Egengodkjenning", IF(G59=0, "MANGLER BILAG", "OK"))</f>
        <v/>
      </c>
    </row>
    <row r="60">
      <c r="A60" s="7" t="inlineStr">
        <is>
          <t>TX-9054</t>
        </is>
      </c>
      <c r="B60" s="7" t="inlineStr">
        <is>
          <t>6300</t>
        </is>
      </c>
      <c r="C60" s="6" t="inlineStr">
        <is>
          <t>Kontorleie &amp; Strøm - Sept 2026 (Helse- og Idrettsvitenskap)</t>
        </is>
      </c>
      <c r="D60" s="34" t="n">
        <v>44385.45</v>
      </c>
      <c r="E60" s="7" t="inlineStr">
        <is>
          <t>EMP-101</t>
        </is>
      </c>
      <c r="F60" s="7" t="inlineStr">
        <is>
          <t>EMP-108</t>
        </is>
      </c>
      <c r="G60" s="66" t="n">
        <v>1</v>
      </c>
      <c r="H60" s="6" t="inlineStr">
        <is>
          <t>Kontorleie &amp; Strøm - Sept 2026 (Helse- og Idrettsvitenskap)</t>
        </is>
      </c>
      <c r="I60" s="6">
        <f>IF(E60=F60, "BRUDD: Egengodkjenning", IF(G60=0, "MANGLER BILAG", "OK"))</f>
        <v/>
      </c>
    </row>
    <row r="61">
      <c r="A61" s="67" t="inlineStr">
        <is>
          <t>TX-9055</t>
        </is>
      </c>
      <c r="B61" s="67" t="inlineStr">
        <is>
          <t>7100</t>
        </is>
      </c>
      <c r="C61" s="19" t="inlineStr">
        <is>
          <t>Bilgodtgjørelse feltarbeid - Sept 2026 (Fellesadministrasjon)</t>
        </is>
      </c>
      <c r="D61" s="72" t="n">
        <v>2151.26</v>
      </c>
      <c r="E61" s="67" t="inlineStr">
        <is>
          <t>EMP-112</t>
        </is>
      </c>
      <c r="F61" s="67" t="inlineStr">
        <is>
          <t>EMP-112</t>
        </is>
      </c>
      <c r="G61" s="69" t="n">
        <v>1</v>
      </c>
      <c r="H61" s="19" t="inlineStr">
        <is>
          <t>Bilgodtgjørelse feltarbeid - Sept 2026 (Fellesadministrasjon)</t>
        </is>
      </c>
      <c r="I61" s="18">
        <f>IF(E61=F61, "BRUDD: Egengodkjenning", IF(G61=0, "MANGLER BILAG", "OK"))</f>
        <v/>
      </c>
    </row>
    <row r="62">
      <c r="A62" s="7" t="inlineStr">
        <is>
          <t>TX-9056</t>
        </is>
      </c>
      <c r="B62" s="7" t="inlineStr">
        <is>
          <t>6800</t>
        </is>
      </c>
      <c r="C62" s="6" t="inlineStr">
        <is>
          <t>Kontorrekvisita - Sept 2026 (Teknologi og Realfag)</t>
        </is>
      </c>
      <c r="D62" s="34" t="n">
        <v>1581.19</v>
      </c>
      <c r="E62" s="7" t="inlineStr">
        <is>
          <t>EMP-105</t>
        </is>
      </c>
      <c r="F62" s="7" t="inlineStr">
        <is>
          <t>EMP-102</t>
        </is>
      </c>
      <c r="G62" s="66" t="n">
        <v>1</v>
      </c>
      <c r="H62" s="6" t="inlineStr">
        <is>
          <t>Kontorrekvisita - Sept 2026 (Teknologi og Realfag)</t>
        </is>
      </c>
      <c r="I62" s="6">
        <f>IF(E62=F62, "BRUDD: Egengodkjenning", IF(G62=0, "MANGLER BILAG", "OK"))</f>
        <v/>
      </c>
    </row>
    <row r="63">
      <c r="A63" s="7" t="inlineStr">
        <is>
          <t>TX-9057</t>
        </is>
      </c>
      <c r="B63" s="7" t="inlineStr">
        <is>
          <t>6300</t>
        </is>
      </c>
      <c r="C63" s="6" t="inlineStr">
        <is>
          <t>Kontorleie &amp; Strøm - Sept 2026 (Teknologi og Realfag)</t>
        </is>
      </c>
      <c r="D63" s="34" t="n">
        <v>31639.32</v>
      </c>
      <c r="E63" s="7" t="inlineStr">
        <is>
          <t>EMP-107</t>
        </is>
      </c>
      <c r="F63" s="7" t="inlineStr">
        <is>
          <t>EMP-108</t>
        </is>
      </c>
      <c r="G63" s="66" t="n">
        <v>1</v>
      </c>
      <c r="H63" s="6" t="inlineStr">
        <is>
          <t>Kontorleie &amp; Strøm - Sept 2026 (Teknologi og Realfag)</t>
        </is>
      </c>
      <c r="I63" s="6">
        <f>IF(E63=F63, "BRUDD: Egengodkjenning", IF(G63=0, "MANGLER BILAG", "OK"))</f>
        <v/>
      </c>
    </row>
    <row r="64">
      <c r="A64" s="7" t="inlineStr">
        <is>
          <t>TX-9058</t>
        </is>
      </c>
      <c r="B64" s="7" t="inlineStr">
        <is>
          <t>7150</t>
        </is>
      </c>
      <c r="C64" s="6" t="inlineStr">
        <is>
          <t>Utenlandsreise fagkonferanse - Sept 2026 (Handelshøyskolen)</t>
        </is>
      </c>
      <c r="D64" s="34" t="n">
        <v>20078.03</v>
      </c>
      <c r="E64" s="7" t="inlineStr">
        <is>
          <t>EMP-110</t>
        </is>
      </c>
      <c r="F64" s="7" t="inlineStr">
        <is>
          <t>EMP-104</t>
        </is>
      </c>
      <c r="G64" s="66" t="n">
        <v>0</v>
      </c>
      <c r="H64" s="6" t="inlineStr">
        <is>
          <t>Utenlandsreise fagkonferanse - Sept 2026 (Handelshøyskolen)</t>
        </is>
      </c>
      <c r="I64" s="6">
        <f>IF(E64=F64, "BRUDD: Egengodkjenning", IF(G64=0, "MANGLER BILAG", "OK"))</f>
        <v/>
      </c>
    </row>
    <row r="65">
      <c r="A65" s="7" t="inlineStr">
        <is>
          <t>TX-9059</t>
        </is>
      </c>
      <c r="B65" s="7" t="inlineStr">
        <is>
          <t>7130</t>
        </is>
      </c>
      <c r="C65" s="6" t="inlineStr">
        <is>
          <t>Reiseregning fagsamling - Sept 2026 (Teknologi og Realfag)</t>
        </is>
      </c>
      <c r="D65" s="34" t="n">
        <v>3850.61</v>
      </c>
      <c r="E65" s="7" t="inlineStr">
        <is>
          <t>EMP-103</t>
        </is>
      </c>
      <c r="F65" s="7" t="inlineStr">
        <is>
          <t>EMP-109</t>
        </is>
      </c>
      <c r="G65" s="66" t="n">
        <v>1</v>
      </c>
      <c r="H65" s="6" t="inlineStr">
        <is>
          <t>Reiseregning fagsamling - Sept 2026 (Teknologi og Realfag)</t>
        </is>
      </c>
      <c r="I65" s="6">
        <f>IF(E65=F65, "BRUDD: Egengodkjenning", IF(G65=0, "MANGLER BILAG", "OK"))</f>
        <v/>
      </c>
    </row>
    <row r="66">
      <c r="A66" s="7" t="inlineStr">
        <is>
          <t>TX-9060</t>
        </is>
      </c>
      <c r="B66" s="7" t="inlineStr">
        <is>
          <t>7130</t>
        </is>
      </c>
      <c r="C66" s="6" t="inlineStr">
        <is>
          <t>Reiseregning fagsamling - Sept 2026 (Teknologi og Realfag)</t>
        </is>
      </c>
      <c r="D66" s="34" t="n">
        <v>4248.73</v>
      </c>
      <c r="E66" s="7" t="inlineStr">
        <is>
          <t>EMP-114</t>
        </is>
      </c>
      <c r="F66" s="7" t="inlineStr">
        <is>
          <t>EMP-104</t>
        </is>
      </c>
      <c r="G66" s="66" t="n">
        <v>1</v>
      </c>
      <c r="H66" s="6" t="inlineStr">
        <is>
          <t>Reiseregning fagsamling - Sept 2026 (Teknologi og Realfag)</t>
        </is>
      </c>
      <c r="I66" s="6">
        <f>IF(E66=F66, "BRUDD: Egengodkjenning", IF(G66=0, "MANGLER BILAG", "OK"))</f>
        <v/>
      </c>
    </row>
    <row r="67">
      <c r="A67" s="7" t="inlineStr">
        <is>
          <t>TX-9061</t>
        </is>
      </c>
      <c r="B67" s="7" t="inlineStr">
        <is>
          <t>5000</t>
        </is>
      </c>
      <c r="C67" s="6" t="inlineStr">
        <is>
          <t>Fast Lønn - Sept 2026 (Handelshøyskolen)</t>
        </is>
      </c>
      <c r="D67" s="34" t="n">
        <v>39562.78</v>
      </c>
      <c r="E67" s="7" t="inlineStr">
        <is>
          <t>EMP-108</t>
        </is>
      </c>
      <c r="F67" s="7" t="inlineStr">
        <is>
          <t>EMP-106</t>
        </is>
      </c>
      <c r="G67" s="66" t="n">
        <v>1</v>
      </c>
      <c r="H67" s="6" t="inlineStr">
        <is>
          <t>Fast Lønn - Sept 2026 (Handelshøyskolen)</t>
        </is>
      </c>
      <c r="I67" s="6">
        <f>IF(E67=F67, "BRUDD: Egengodkjenning", IF(G67=0, "MANGLER BILAG", "OK"))</f>
        <v/>
      </c>
    </row>
    <row r="68">
      <c r="A68" s="7" t="inlineStr">
        <is>
          <t>TX-9062</t>
        </is>
      </c>
      <c r="B68" s="7" t="inlineStr">
        <is>
          <t>5330</t>
        </is>
      </c>
      <c r="C68" s="6" t="inlineStr">
        <is>
          <t>Sensorhonorarer - Sept 2026 (Fellesadministrasjon)</t>
        </is>
      </c>
      <c r="D68" s="34" t="n">
        <v>9055.049999999999</v>
      </c>
      <c r="E68" s="7" t="inlineStr">
        <is>
          <t>EMP-110</t>
        </is>
      </c>
      <c r="F68" s="7" t="inlineStr">
        <is>
          <t>EMP-105</t>
        </is>
      </c>
      <c r="G68" s="66" t="n">
        <v>1</v>
      </c>
      <c r="H68" s="6" t="inlineStr">
        <is>
          <t>Sensorhonorarer - Sept 2026 (Fellesadministrasjon)</t>
        </is>
      </c>
      <c r="I68" s="6">
        <f>IF(E68=F68, "BRUDD: Egengodkjenning", IF(G68=0, "MANGLER BILAG", "OK"))</f>
        <v/>
      </c>
    </row>
    <row r="69">
      <c r="A69" s="7" t="inlineStr">
        <is>
          <t>TX-9063</t>
        </is>
      </c>
      <c r="B69" s="7" t="inlineStr">
        <is>
          <t>3400</t>
        </is>
      </c>
      <c r="C69" s="6" t="inlineStr">
        <is>
          <t>Oppdragsinntekter BOA - Sept 2026 (Fellesadministrasjon)</t>
        </is>
      </c>
      <c r="D69" s="34" t="n">
        <v>-59704.24</v>
      </c>
      <c r="E69" s="7" t="inlineStr">
        <is>
          <t>EMP-113</t>
        </is>
      </c>
      <c r="F69" s="7" t="inlineStr">
        <is>
          <t>EMP-103</t>
        </is>
      </c>
      <c r="G69" s="66" t="n">
        <v>1</v>
      </c>
      <c r="H69" s="6" t="inlineStr">
        <is>
          <t>Oppdragsinntekter BOA - Sept 2026 (Fellesadministrasjon)</t>
        </is>
      </c>
      <c r="I69" s="6">
        <f>IF(E69=F69, "BRUDD: Egengodkjenning", IF(G69=0, "MANGLER BILAG", "OK"))</f>
        <v/>
      </c>
    </row>
    <row r="70">
      <c r="A70" s="7" t="inlineStr">
        <is>
          <t>TX-9064</t>
        </is>
      </c>
      <c r="B70" s="7" t="inlineStr">
        <is>
          <t>5000</t>
        </is>
      </c>
      <c r="C70" s="6" t="inlineStr">
        <is>
          <t>Fast Lønn - Sept 2026 (Fellesadministrasjon)</t>
        </is>
      </c>
      <c r="D70" s="34" t="n">
        <v>54535.67</v>
      </c>
      <c r="E70" s="7" t="inlineStr">
        <is>
          <t>EMP-107</t>
        </is>
      </c>
      <c r="F70" s="7" t="inlineStr">
        <is>
          <t>EMP-103</t>
        </is>
      </c>
      <c r="G70" s="66" t="n">
        <v>1</v>
      </c>
      <c r="H70" s="6" t="inlineStr">
        <is>
          <t>Fast Lønn - Sept 2026 (Fellesadministrasjon)</t>
        </is>
      </c>
      <c r="I70" s="6">
        <f>IF(E70=F70, "BRUDD: Egengodkjenning", IF(G70=0, "MANGLER BILAG", "OK"))</f>
        <v/>
      </c>
    </row>
    <row r="71">
      <c r="A71" s="7" t="inlineStr">
        <is>
          <t>TX-9065</t>
        </is>
      </c>
      <c r="B71" s="7" t="inlineStr">
        <is>
          <t>5000</t>
        </is>
      </c>
      <c r="C71" s="6" t="inlineStr">
        <is>
          <t>Fast Lønn - Sept 2026 (Helse- og Idrettsvitenskap)</t>
        </is>
      </c>
      <c r="D71" s="34" t="n">
        <v>38388.93</v>
      </c>
      <c r="E71" s="7" t="inlineStr">
        <is>
          <t>EMP-101</t>
        </is>
      </c>
      <c r="F71" s="7" t="inlineStr">
        <is>
          <t>EMP-111</t>
        </is>
      </c>
      <c r="G71" s="66" t="n">
        <v>1</v>
      </c>
      <c r="H71" s="6" t="inlineStr">
        <is>
          <t>Fast Lønn - Sept 2026 (Helse- og Idrettsvitenskap)</t>
        </is>
      </c>
      <c r="I71" s="6">
        <f>IF(E71=F71, "BRUDD: Egengodkjenning", IF(G71=0, "MANGLER BILAG", "OK"))</f>
        <v/>
      </c>
    </row>
    <row r="72">
      <c r="A72" s="7" t="inlineStr">
        <is>
          <t>TX-9066</t>
        </is>
      </c>
      <c r="B72" s="7" t="inlineStr">
        <is>
          <t>7100</t>
        </is>
      </c>
      <c r="C72" s="6" t="inlineStr">
        <is>
          <t>Bilgodtgjørelse feltarbeid - Sept 2026 (Fellesadministrasjon)</t>
        </is>
      </c>
      <c r="D72" s="34" t="n">
        <v>2810.83</v>
      </c>
      <c r="E72" s="7" t="inlineStr">
        <is>
          <t>EMP-107</t>
        </is>
      </c>
      <c r="F72" s="7" t="inlineStr">
        <is>
          <t>EMP-101</t>
        </is>
      </c>
      <c r="G72" s="66" t="n">
        <v>1</v>
      </c>
      <c r="H72" s="6" t="inlineStr">
        <is>
          <t>Bilgodtgjørelse feltarbeid - Sept 2026 (Fellesadministrasjon)</t>
        </is>
      </c>
      <c r="I72" s="6">
        <f>IF(E72=F72, "BRUDD: Egengodkjenning", IF(G72=0, "MANGLER BILAG", "OK"))</f>
        <v/>
      </c>
    </row>
    <row r="73">
      <c r="A73" s="7" t="inlineStr">
        <is>
          <t>TX-9067</t>
        </is>
      </c>
      <c r="B73" s="7" t="inlineStr">
        <is>
          <t>6800</t>
        </is>
      </c>
      <c r="C73" s="6" t="inlineStr">
        <is>
          <t>Kontorrekvisita - Sept 2026 (Teknologi og Realfag)</t>
        </is>
      </c>
      <c r="D73" s="34" t="n">
        <v>1317.49</v>
      </c>
      <c r="E73" s="7" t="inlineStr">
        <is>
          <t>EMP-105</t>
        </is>
      </c>
      <c r="F73" s="7" t="inlineStr">
        <is>
          <t>EMP-101</t>
        </is>
      </c>
      <c r="G73" s="66" t="n">
        <v>1</v>
      </c>
      <c r="H73" s="6" t="inlineStr">
        <is>
          <t>Kontorrekvisita - Sept 2026 (Teknologi og Realfag)</t>
        </is>
      </c>
      <c r="I73" s="6">
        <f>IF(E73=F73, "BRUDD: Egengodkjenning", IF(G73=0, "MANGLER BILAG", "OK"))</f>
        <v/>
      </c>
    </row>
    <row r="74">
      <c r="A74" s="7" t="inlineStr">
        <is>
          <t>TX-9068</t>
        </is>
      </c>
      <c r="B74" s="7" t="inlineStr">
        <is>
          <t>3400</t>
        </is>
      </c>
      <c r="C74" s="6" t="inlineStr">
        <is>
          <t>Oppdragsinntekter BOA - Sept 2026 (Teknologi og Realfag)</t>
        </is>
      </c>
      <c r="D74" s="34" t="n">
        <v>-54009.08</v>
      </c>
      <c r="E74" s="7" t="inlineStr">
        <is>
          <t>EMP-114</t>
        </is>
      </c>
      <c r="F74" s="7" t="inlineStr">
        <is>
          <t>EMP-113</t>
        </is>
      </c>
      <c r="G74" s="66" t="n">
        <v>1</v>
      </c>
      <c r="H74" s="6" t="inlineStr">
        <is>
          <t>Oppdragsinntekter BOA - Sept 2026 (Teknologi og Realfag)</t>
        </is>
      </c>
      <c r="I74" s="6">
        <f>IF(E74=F74, "BRUDD: Egengodkjenning", IF(G74=0, "MANGLER BILAG", "OK"))</f>
        <v/>
      </c>
    </row>
    <row r="75">
      <c r="A75" s="7" t="inlineStr">
        <is>
          <t>TX-9069</t>
        </is>
      </c>
      <c r="B75" s="7" t="inlineStr">
        <is>
          <t>7150</t>
        </is>
      </c>
      <c r="C75" s="6" t="inlineStr">
        <is>
          <t>Utenlandsreise fagkonferanse - Sept 2026 (Teknologi og Realfag)</t>
        </is>
      </c>
      <c r="D75" s="34" t="n">
        <v>21208.85</v>
      </c>
      <c r="E75" s="7" t="inlineStr">
        <is>
          <t>EMP-103</t>
        </is>
      </c>
      <c r="F75" s="7" t="inlineStr">
        <is>
          <t>EMP-101</t>
        </is>
      </c>
      <c r="G75" s="66" t="n">
        <v>1</v>
      </c>
      <c r="H75" s="6" t="inlineStr">
        <is>
          <t>Utenlandsreise fagkonferanse - Sept 2026 (Teknologi og Realfag)</t>
        </is>
      </c>
      <c r="I75" s="6">
        <f>IF(E75=F75, "BRUDD: Egengodkjenning", IF(G75=0, "MANGLER BILAG", "OK"))</f>
        <v/>
      </c>
    </row>
    <row r="76">
      <c r="A76" s="67" t="inlineStr">
        <is>
          <t>TX-9070</t>
        </is>
      </c>
      <c r="B76" s="67" t="inlineStr">
        <is>
          <t>3400</t>
        </is>
      </c>
      <c r="C76" s="19" t="inlineStr">
        <is>
          <t>Oppdragsinntekter BOA - Sept 2026 (Helse- og Idrettsvitenskap)</t>
        </is>
      </c>
      <c r="D76" s="72" t="n">
        <v>-65604.32000000001</v>
      </c>
      <c r="E76" s="67" t="inlineStr">
        <is>
          <t>EMP-111</t>
        </is>
      </c>
      <c r="F76" s="67" t="inlineStr">
        <is>
          <t>EMP-111</t>
        </is>
      </c>
      <c r="G76" s="69" t="n">
        <v>1</v>
      </c>
      <c r="H76" s="19" t="inlineStr">
        <is>
          <t>Oppdragsinntekter BOA - Sept 2026 (Helse- og Idrettsvitenskap)</t>
        </is>
      </c>
      <c r="I76" s="18">
        <f>IF(E76=F76, "BRUDD: Egengodkjenning", IF(G76=0, "MANGLER BILAG", "OK"))</f>
        <v/>
      </c>
    </row>
    <row r="77">
      <c r="A77" s="67" t="inlineStr">
        <is>
          <t>TX-9071</t>
        </is>
      </c>
      <c r="B77" s="67" t="inlineStr">
        <is>
          <t>7130</t>
        </is>
      </c>
      <c r="C77" s="19" t="inlineStr">
        <is>
          <t>Reiseregning fagsamling - Sept 2026 (Handelshøyskolen)</t>
        </is>
      </c>
      <c r="D77" s="72" t="n">
        <v>3419.92</v>
      </c>
      <c r="E77" s="67" t="inlineStr">
        <is>
          <t>EMP-104</t>
        </is>
      </c>
      <c r="F77" s="67" t="inlineStr">
        <is>
          <t>EMP-104</t>
        </is>
      </c>
      <c r="G77" s="69" t="n">
        <v>1</v>
      </c>
      <c r="H77" s="19" t="inlineStr">
        <is>
          <t>Reiseregning fagsamling - Sept 2026 (Handelshøyskolen)</t>
        </is>
      </c>
      <c r="I77" s="18">
        <f>IF(E77=F77, "BRUDD: Egengodkjenning", IF(G77=0, "MANGLER BILAG", "OK"))</f>
        <v/>
      </c>
    </row>
    <row r="78">
      <c r="A78" s="7" t="inlineStr">
        <is>
          <t>TX-9072</t>
        </is>
      </c>
      <c r="B78" s="7" t="inlineStr">
        <is>
          <t>5330</t>
        </is>
      </c>
      <c r="C78" s="6" t="inlineStr">
        <is>
          <t>Sensorhonorarer - Sept 2026 (Helse- og Idrettsvitenskap)</t>
        </is>
      </c>
      <c r="D78" s="34" t="n">
        <v>13057.12</v>
      </c>
      <c r="E78" s="7" t="inlineStr">
        <is>
          <t>EMP-102</t>
        </is>
      </c>
      <c r="F78" s="7" t="inlineStr">
        <is>
          <t>EMP-105</t>
        </is>
      </c>
      <c r="G78" s="66" t="n">
        <v>1</v>
      </c>
      <c r="H78" s="6" t="inlineStr">
        <is>
          <t>Sensorhonorarer - Sept 2026 (Helse- og Idrettsvitenskap)</t>
        </is>
      </c>
      <c r="I78" s="6">
        <f>IF(E78=F78, "BRUDD: Egengodkjenning", IF(G78=0, "MANGLER BILAG", "OK"))</f>
        <v/>
      </c>
    </row>
    <row r="79">
      <c r="A79" s="7" t="inlineStr">
        <is>
          <t>TX-9073</t>
        </is>
      </c>
      <c r="B79" s="7" t="inlineStr">
        <is>
          <t>7130</t>
        </is>
      </c>
      <c r="C79" s="6" t="inlineStr">
        <is>
          <t>Reiseregning fagsamling - Sept 2026 (Handelshøyskolen)</t>
        </is>
      </c>
      <c r="D79" s="34" t="n">
        <v>5531.46</v>
      </c>
      <c r="E79" s="7" t="inlineStr">
        <is>
          <t>EMP-101</t>
        </is>
      </c>
      <c r="F79" s="7" t="inlineStr">
        <is>
          <t>EMP-109</t>
        </is>
      </c>
      <c r="G79" s="66" t="n">
        <v>1</v>
      </c>
      <c r="H79" s="6" t="inlineStr">
        <is>
          <t>Reiseregning fagsamling - Sept 2026 (Handelshøyskolen)</t>
        </is>
      </c>
      <c r="I79" s="6">
        <f>IF(E79=F79, "BRUDD: Egengodkjenning", IF(G79=0, "MANGLER BILAG", "OK"))</f>
        <v/>
      </c>
    </row>
    <row r="80">
      <c r="A80" s="7" t="inlineStr">
        <is>
          <t>TX-9074</t>
        </is>
      </c>
      <c r="B80" s="7" t="inlineStr">
        <is>
          <t>5000</t>
        </is>
      </c>
      <c r="C80" s="6" t="inlineStr">
        <is>
          <t>Fast Lønn - Sept 2026 (Teknologi og Realfag)</t>
        </is>
      </c>
      <c r="D80" s="34" t="n">
        <v>32177.98</v>
      </c>
      <c r="E80" s="7" t="inlineStr">
        <is>
          <t>EMP-106</t>
        </is>
      </c>
      <c r="F80" s="7" t="inlineStr">
        <is>
          <t>EMP-107</t>
        </is>
      </c>
      <c r="G80" s="66" t="n">
        <v>1</v>
      </c>
      <c r="H80" s="6" t="inlineStr">
        <is>
          <t>Fast Lønn - Sept 2026 (Teknologi og Realfag)</t>
        </is>
      </c>
      <c r="I80" s="6">
        <f>IF(E80=F80, "BRUDD: Egengodkjenning", IF(G80=0, "MANGLER BILAG", "OK"))</f>
        <v/>
      </c>
    </row>
    <row r="81">
      <c r="A81" s="7" t="inlineStr">
        <is>
          <t>TX-9075</t>
        </is>
      </c>
      <c r="B81" s="7" t="inlineStr">
        <is>
          <t>5000</t>
        </is>
      </c>
      <c r="C81" s="6" t="inlineStr">
        <is>
          <t>Fast Lønn - Sept 2026 (Teknologi og Realfag)</t>
        </is>
      </c>
      <c r="D81" s="34" t="n">
        <v>49829.34</v>
      </c>
      <c r="E81" s="7" t="inlineStr">
        <is>
          <t>EMP-104</t>
        </is>
      </c>
      <c r="F81" s="7" t="inlineStr">
        <is>
          <t>EMP-112</t>
        </is>
      </c>
      <c r="G81" s="66" t="n">
        <v>1</v>
      </c>
      <c r="H81" s="6" t="inlineStr">
        <is>
          <t>Fast Lønn - Sept 2026 (Teknologi og Realfag)</t>
        </is>
      </c>
      <c r="I81" s="6">
        <f>IF(E81=F81, "BRUDD: Egengodkjenning", IF(G81=0, "MANGLER BILAG", "OK"))</f>
        <v/>
      </c>
    </row>
    <row r="82">
      <c r="A82" s="7" t="inlineStr">
        <is>
          <t>TX-9076</t>
        </is>
      </c>
      <c r="B82" s="7" t="inlineStr">
        <is>
          <t>6800</t>
        </is>
      </c>
      <c r="C82" s="6" t="inlineStr">
        <is>
          <t>Kontorrekvisita - Sept 2026 (Helse- og Idrettsvitenskap)</t>
        </is>
      </c>
      <c r="D82" s="34" t="n">
        <v>1438.46</v>
      </c>
      <c r="E82" s="7" t="inlineStr">
        <is>
          <t>EMP-109</t>
        </is>
      </c>
      <c r="F82" s="7" t="inlineStr">
        <is>
          <t>EMP-113</t>
        </is>
      </c>
      <c r="G82" s="66" t="n">
        <v>1</v>
      </c>
      <c r="H82" s="6" t="inlineStr">
        <is>
          <t>Kontorrekvisita - Sept 2026 (Helse- og Idrettsvitenskap)</t>
        </is>
      </c>
      <c r="I82" s="6">
        <f>IF(E82=F82, "BRUDD: Egengodkjenning", IF(G82=0, "MANGLER BILAG", "OK"))</f>
        <v/>
      </c>
    </row>
    <row r="83">
      <c r="A83" s="7" t="inlineStr">
        <is>
          <t>TX-9077</t>
        </is>
      </c>
      <c r="B83" s="7" t="inlineStr">
        <is>
          <t>3400</t>
        </is>
      </c>
      <c r="C83" s="6" t="inlineStr">
        <is>
          <t>Oppdragsinntekter BOA - Sept 2026 (Helse- og Idrettsvitenskap)</t>
        </is>
      </c>
      <c r="D83" s="34" t="n">
        <v>-53056.74</v>
      </c>
      <c r="E83" s="7" t="inlineStr">
        <is>
          <t>EMP-111</t>
        </is>
      </c>
      <c r="F83" s="7" t="inlineStr">
        <is>
          <t>EMP-101</t>
        </is>
      </c>
      <c r="G83" s="66" t="n">
        <v>1</v>
      </c>
      <c r="H83" s="6" t="inlineStr">
        <is>
          <t>Oppdragsinntekter BOA - Sept 2026 (Helse- og Idrettsvitenskap)</t>
        </is>
      </c>
      <c r="I83" s="6">
        <f>IF(E83=F83, "BRUDD: Egengodkjenning", IF(G83=0, "MANGLER BILAG", "OK"))</f>
        <v/>
      </c>
    </row>
    <row r="84">
      <c r="A84" s="7" t="inlineStr">
        <is>
          <t>TX-9078</t>
        </is>
      </c>
      <c r="B84" s="7" t="inlineStr">
        <is>
          <t>3400</t>
        </is>
      </c>
      <c r="C84" s="6" t="inlineStr">
        <is>
          <t>Oppdragsinntekter BOA - Sept 2026 (Helse- og Idrettsvitenskap)</t>
        </is>
      </c>
      <c r="D84" s="34" t="n">
        <v>-75888.39</v>
      </c>
      <c r="E84" s="7" t="inlineStr">
        <is>
          <t>EMP-113</t>
        </is>
      </c>
      <c r="F84" s="7" t="inlineStr">
        <is>
          <t>EMP-112</t>
        </is>
      </c>
      <c r="G84" s="66" t="n">
        <v>1</v>
      </c>
      <c r="H84" s="6" t="inlineStr">
        <is>
          <t>Oppdragsinntekter BOA - Sept 2026 (Helse- og Idrettsvitenskap)</t>
        </is>
      </c>
      <c r="I84" s="6">
        <f>IF(E84=F84, "BRUDD: Egengodkjenning", IF(G84=0, "MANGLER BILAG", "OK"))</f>
        <v/>
      </c>
    </row>
    <row r="85">
      <c r="A85" s="7" t="inlineStr">
        <is>
          <t>TX-9079</t>
        </is>
      </c>
      <c r="B85" s="7" t="inlineStr">
        <is>
          <t>7150</t>
        </is>
      </c>
      <c r="C85" s="6" t="inlineStr">
        <is>
          <t>Utenlandsreise fagkonferanse - Sept 2026 (Fellesadministrasjon)</t>
        </is>
      </c>
      <c r="D85" s="34" t="n">
        <v>13342.55</v>
      </c>
      <c r="E85" s="7" t="inlineStr">
        <is>
          <t>EMP-104</t>
        </is>
      </c>
      <c r="F85" s="7" t="inlineStr">
        <is>
          <t>EMP-111</t>
        </is>
      </c>
      <c r="G85" s="66" t="n">
        <v>1</v>
      </c>
      <c r="H85" s="6" t="inlineStr">
        <is>
          <t>Utenlandsreise fagkonferanse - Sept 2026 (Fellesadministrasjon)</t>
        </is>
      </c>
      <c r="I85" s="6">
        <f>IF(E85=F85, "BRUDD: Egengodkjenning", IF(G85=0, "MANGLER BILAG", "OK"))</f>
        <v/>
      </c>
    </row>
    <row r="86">
      <c r="A86" s="7" t="inlineStr">
        <is>
          <t>TX-9080</t>
        </is>
      </c>
      <c r="B86" s="7" t="inlineStr">
        <is>
          <t>5000</t>
        </is>
      </c>
      <c r="C86" s="6" t="inlineStr">
        <is>
          <t>Fast Lønn - Sept 2026 (Handelshøyskolen)</t>
        </is>
      </c>
      <c r="D86" s="34" t="n">
        <v>44457.42</v>
      </c>
      <c r="E86" s="7" t="inlineStr">
        <is>
          <t>EMP-114</t>
        </is>
      </c>
      <c r="F86" s="7" t="inlineStr">
        <is>
          <t>EMP-103</t>
        </is>
      </c>
      <c r="G86" s="66" t="n">
        <v>1</v>
      </c>
      <c r="H86" s="6" t="inlineStr">
        <is>
          <t>Fast Lønn - Sept 2026 (Handelshøyskolen)</t>
        </is>
      </c>
      <c r="I86" s="6">
        <f>IF(E86=F86, "BRUDD: Egengodkjenning", IF(G86=0, "MANGLER BILAG", "OK"))</f>
        <v/>
      </c>
    </row>
    <row r="87">
      <c r="A87" s="7" t="inlineStr">
        <is>
          <t>TX-9081</t>
        </is>
      </c>
      <c r="B87" s="7" t="inlineStr">
        <is>
          <t>5000</t>
        </is>
      </c>
      <c r="C87" s="6" t="inlineStr">
        <is>
          <t>Fast Lønn - Sept 2026 (Teknologi og Realfag)</t>
        </is>
      </c>
      <c r="D87" s="34" t="n">
        <v>36190.57</v>
      </c>
      <c r="E87" s="7" t="inlineStr">
        <is>
          <t>EMP-102</t>
        </is>
      </c>
      <c r="F87" s="7" t="inlineStr">
        <is>
          <t>EMP-103</t>
        </is>
      </c>
      <c r="G87" s="66" t="n">
        <v>1</v>
      </c>
      <c r="H87" s="6" t="inlineStr">
        <is>
          <t>Fast Lønn - Sept 2026 (Teknologi og Realfag)</t>
        </is>
      </c>
      <c r="I87" s="6">
        <f>IF(E87=F87, "BRUDD: Egengodkjenning", IF(G87=0, "MANGLER BILAG", "OK"))</f>
        <v/>
      </c>
    </row>
    <row r="88">
      <c r="A88" s="7" t="inlineStr">
        <is>
          <t>TX-9082</t>
        </is>
      </c>
      <c r="B88" s="7" t="inlineStr">
        <is>
          <t>6300</t>
        </is>
      </c>
      <c r="C88" s="6" t="inlineStr">
        <is>
          <t>Kontorleie &amp; Strøm - Sept 2026 (Fellesadministrasjon)</t>
        </is>
      </c>
      <c r="D88" s="34" t="n">
        <v>29307.79</v>
      </c>
      <c r="E88" s="7" t="inlineStr">
        <is>
          <t>EMP-111</t>
        </is>
      </c>
      <c r="F88" s="7" t="inlineStr">
        <is>
          <t>EMP-112</t>
        </is>
      </c>
      <c r="G88" s="66" t="n">
        <v>1</v>
      </c>
      <c r="H88" s="6" t="inlineStr">
        <is>
          <t>Kontorleie &amp; Strøm - Sept 2026 (Fellesadministrasjon)</t>
        </is>
      </c>
      <c r="I88" s="6">
        <f>IF(E88=F88, "BRUDD: Egengodkjenning", IF(G88=0, "MANGLER BILAG", "OK"))</f>
        <v/>
      </c>
    </row>
    <row r="89">
      <c r="A89" s="7" t="inlineStr">
        <is>
          <t>TX-9083</t>
        </is>
      </c>
      <c r="B89" s="7" t="inlineStr">
        <is>
          <t>5330</t>
        </is>
      </c>
      <c r="C89" s="6" t="inlineStr">
        <is>
          <t>Sensorhonorarer - Sept 2026 (Fellesadministrasjon)</t>
        </is>
      </c>
      <c r="D89" s="34" t="n">
        <v>11457.31</v>
      </c>
      <c r="E89" s="7" t="inlineStr">
        <is>
          <t>EMP-106</t>
        </is>
      </c>
      <c r="F89" s="7" t="inlineStr">
        <is>
          <t>EMP-103</t>
        </is>
      </c>
      <c r="G89" s="66" t="n">
        <v>1</v>
      </c>
      <c r="H89" s="6" t="inlineStr">
        <is>
          <t>Sensorhonorarer - Sept 2026 (Fellesadministrasjon)</t>
        </is>
      </c>
      <c r="I89" s="6">
        <f>IF(E89=F89, "BRUDD: Egengodkjenning", IF(G89=0, "MANGLER BILAG", "OK"))</f>
        <v/>
      </c>
    </row>
    <row r="90">
      <c r="A90" s="7" t="inlineStr">
        <is>
          <t>TX-9084</t>
        </is>
      </c>
      <c r="B90" s="7" t="inlineStr">
        <is>
          <t>3400</t>
        </is>
      </c>
      <c r="C90" s="6" t="inlineStr">
        <is>
          <t>Oppdragsinntekter BOA - Sept 2026 (Fellesadministrasjon)</t>
        </is>
      </c>
      <c r="D90" s="34" t="n">
        <v>-77273.08</v>
      </c>
      <c r="E90" s="7" t="inlineStr">
        <is>
          <t>EMP-113</t>
        </is>
      </c>
      <c r="F90" s="7" t="inlineStr">
        <is>
          <t>EMP-110</t>
        </is>
      </c>
      <c r="G90" s="66" t="n">
        <v>1</v>
      </c>
      <c r="H90" s="6" t="inlineStr">
        <is>
          <t>Oppdragsinntekter BOA - Sept 2026 (Fellesadministrasjon)</t>
        </is>
      </c>
      <c r="I90" s="6">
        <f>IF(E90=F90, "BRUDD: Egengodkjenning", IF(G90=0, "MANGLER BILAG", "OK"))</f>
        <v/>
      </c>
    </row>
    <row r="91">
      <c r="A91" s="7" t="inlineStr">
        <is>
          <t>TX-9085</t>
        </is>
      </c>
      <c r="B91" s="7" t="inlineStr">
        <is>
          <t>3400</t>
        </is>
      </c>
      <c r="C91" s="6" t="inlineStr">
        <is>
          <t>Oppdragsinntekter BOA - Sept 2026 (Helse- og Idrettsvitenskap)</t>
        </is>
      </c>
      <c r="D91" s="34" t="n">
        <v>-55581.5</v>
      </c>
      <c r="E91" s="7" t="inlineStr">
        <is>
          <t>EMP-111</t>
        </is>
      </c>
      <c r="F91" s="7" t="inlineStr">
        <is>
          <t>EMP-104</t>
        </is>
      </c>
      <c r="G91" s="66" t="n">
        <v>1</v>
      </c>
      <c r="H91" s="6" t="inlineStr">
        <is>
          <t>Oppdragsinntekter BOA - Sept 2026 (Helse- og Idrettsvitenskap)</t>
        </is>
      </c>
      <c r="I91" s="6">
        <f>IF(E91=F91, "BRUDD: Egengodkjenning", IF(G91=0, "MANGLER BILAG", "OK"))</f>
        <v/>
      </c>
    </row>
    <row r="92">
      <c r="A92" s="7" t="inlineStr">
        <is>
          <t>TX-9086</t>
        </is>
      </c>
      <c r="B92" s="7" t="inlineStr">
        <is>
          <t>6800</t>
        </is>
      </c>
      <c r="C92" s="6" t="inlineStr">
        <is>
          <t>Kontorrekvisita - Sept 2026 (Handelshøyskolen)</t>
        </is>
      </c>
      <c r="D92" s="34" t="n">
        <v>2044.87</v>
      </c>
      <c r="E92" s="7" t="inlineStr">
        <is>
          <t>EMP-111</t>
        </is>
      </c>
      <c r="F92" s="7" t="inlineStr">
        <is>
          <t>EMP-114</t>
        </is>
      </c>
      <c r="G92" s="66" t="n">
        <v>1</v>
      </c>
      <c r="H92" s="6" t="inlineStr">
        <is>
          <t>Kontorrekvisita - Sept 2026 (Handelshøyskolen)</t>
        </is>
      </c>
      <c r="I92" s="6">
        <f>IF(E92=F92, "BRUDD: Egengodkjenning", IF(G92=0, "MANGLER BILAG", "OK"))</f>
        <v/>
      </c>
    </row>
    <row r="93">
      <c r="A93" s="7" t="inlineStr">
        <is>
          <t>TX-9087</t>
        </is>
      </c>
      <c r="B93" s="7" t="inlineStr">
        <is>
          <t>7100</t>
        </is>
      </c>
      <c r="C93" s="6" t="inlineStr">
        <is>
          <t>Bilgodtgjørelse feltarbeid - Sept 2026 (Fellesadministrasjon)</t>
        </is>
      </c>
      <c r="D93" s="34" t="n">
        <v>2458.76</v>
      </c>
      <c r="E93" s="7" t="inlineStr">
        <is>
          <t>EMP-114</t>
        </is>
      </c>
      <c r="F93" s="7" t="inlineStr">
        <is>
          <t>EMP-113</t>
        </is>
      </c>
      <c r="G93" s="66" t="n">
        <v>1</v>
      </c>
      <c r="H93" s="6" t="inlineStr">
        <is>
          <t>Bilgodtgjørelse feltarbeid - Sept 2026 (Fellesadministrasjon)</t>
        </is>
      </c>
      <c r="I93" s="6">
        <f>IF(E93=F93, "BRUDD: Egengodkjenning", IF(G93=0, "MANGLER BILAG", "OK"))</f>
        <v/>
      </c>
    </row>
    <row r="94">
      <c r="A94" s="7" t="inlineStr">
        <is>
          <t>TX-10001</t>
        </is>
      </c>
      <c r="B94" s="7" t="inlineStr">
        <is>
          <t>5000</t>
        </is>
      </c>
      <c r="C94" s="6" t="inlineStr">
        <is>
          <t>Fast Lønn - Okt 2026 (Fellesadministrasjon)</t>
        </is>
      </c>
      <c r="D94" s="34" t="n">
        <v>43007.11</v>
      </c>
      <c r="E94" s="7" t="inlineStr">
        <is>
          <t>EMP-101</t>
        </is>
      </c>
      <c r="F94" s="7" t="inlineStr">
        <is>
          <t>EMP-104</t>
        </is>
      </c>
      <c r="G94" s="66" t="n">
        <v>1</v>
      </c>
      <c r="H94" s="6" t="inlineStr">
        <is>
          <t>Fast Lønn - Okt 2026 (Fellesadministrasjon)</t>
        </is>
      </c>
      <c r="I94" s="6">
        <f>IF(E94=F94, "BRUDD: Egengodkjenning", IF(G94=0, "MANGLER BILAG", "OK"))</f>
        <v/>
      </c>
    </row>
    <row r="95">
      <c r="A95" s="7" t="inlineStr">
        <is>
          <t>TX-10002</t>
        </is>
      </c>
      <c r="B95" s="7" t="inlineStr">
        <is>
          <t>7150</t>
        </is>
      </c>
      <c r="C95" s="6" t="inlineStr">
        <is>
          <t>Utenlandsreise fagkonferanse - Okt 2026 (Helse- og Idrettsvitenskap)</t>
        </is>
      </c>
      <c r="D95" s="34" t="n">
        <v>19919.01</v>
      </c>
      <c r="E95" s="7" t="inlineStr">
        <is>
          <t>EMP-104</t>
        </is>
      </c>
      <c r="F95" s="7" t="inlineStr">
        <is>
          <t>EMP-112</t>
        </is>
      </c>
      <c r="G95" s="66" t="n">
        <v>1</v>
      </c>
      <c r="H95" s="6" t="inlineStr">
        <is>
          <t>Utenlandsreise fagkonferanse - Okt 2026 (Helse- og Idrettsvitenskap)</t>
        </is>
      </c>
      <c r="I95" s="6">
        <f>IF(E95=F95, "BRUDD: Egengodkjenning", IF(G95=0, "MANGLER BILAG", "OK"))</f>
        <v/>
      </c>
    </row>
    <row r="96">
      <c r="A96" s="7" t="inlineStr">
        <is>
          <t>TX-10003</t>
        </is>
      </c>
      <c r="B96" s="7" t="inlineStr">
        <is>
          <t>7100</t>
        </is>
      </c>
      <c r="C96" s="6" t="inlineStr">
        <is>
          <t>Bilgodtgjørelse feltarbeid - Okt 2026 (Helse- og Idrettsvitenskap)</t>
        </is>
      </c>
      <c r="D96" s="34" t="n">
        <v>650.05</v>
      </c>
      <c r="E96" s="7" t="inlineStr">
        <is>
          <t>EMP-102</t>
        </is>
      </c>
      <c r="F96" s="7" t="inlineStr">
        <is>
          <t>EMP-119</t>
        </is>
      </c>
      <c r="G96" s="66" t="n">
        <v>1</v>
      </c>
      <c r="H96" s="6" t="inlineStr">
        <is>
          <t>Bilgodtgjørelse feltarbeid - Okt 2026 (Helse- og Idrettsvitenskap)</t>
        </is>
      </c>
      <c r="I96" s="6">
        <f>IF(E96=F96, "BRUDD: Egengodkjenning", IF(G96=0, "MANGLER BILAG", "OK"))</f>
        <v/>
      </c>
    </row>
    <row r="97">
      <c r="A97" s="7" t="inlineStr">
        <is>
          <t>TX-10004</t>
        </is>
      </c>
      <c r="B97" s="7" t="inlineStr">
        <is>
          <t>5330</t>
        </is>
      </c>
      <c r="C97" s="6" t="inlineStr">
        <is>
          <t>Sensorhonorarer - Okt 2026 (Handelshøyskolen)</t>
        </is>
      </c>
      <c r="D97" s="34" t="n">
        <v>9018.83</v>
      </c>
      <c r="E97" s="7" t="inlineStr">
        <is>
          <t>EMP-119</t>
        </is>
      </c>
      <c r="F97" s="7" t="inlineStr">
        <is>
          <t>EMP-104</t>
        </is>
      </c>
      <c r="G97" s="66" t="n">
        <v>1</v>
      </c>
      <c r="H97" s="6" t="inlineStr">
        <is>
          <t>Sensorhonorarer - Okt 2026 (Handelshøyskolen)</t>
        </is>
      </c>
      <c r="I97" s="6">
        <f>IF(E97=F97, "BRUDD: Egengodkjenning", IF(G97=0, "MANGLER BILAG", "OK"))</f>
        <v/>
      </c>
    </row>
    <row r="98">
      <c r="A98" s="67" t="inlineStr">
        <is>
          <t>TX-10005</t>
        </is>
      </c>
      <c r="B98" s="67" t="inlineStr">
        <is>
          <t>7130</t>
        </is>
      </c>
      <c r="C98" s="19" t="inlineStr">
        <is>
          <t>Reiseregning fagsamling - Okt 2026 (Fellesadministrasjon)</t>
        </is>
      </c>
      <c r="D98" s="72" t="n">
        <v>2981.89</v>
      </c>
      <c r="E98" s="67" t="inlineStr">
        <is>
          <t>EMP-111</t>
        </is>
      </c>
      <c r="F98" s="67" t="inlineStr">
        <is>
          <t>EMP-111</t>
        </is>
      </c>
      <c r="G98" s="69" t="n">
        <v>1</v>
      </c>
      <c r="H98" s="19" t="inlineStr">
        <is>
          <t>Reiseregning fagsamling - Okt 2026 (Fellesadministrasjon)</t>
        </is>
      </c>
      <c r="I98" s="18">
        <f>IF(E98=F98, "BRUDD: Egengodkjenning", IF(G98=0, "MANGLER BILAG", "OK"))</f>
        <v/>
      </c>
    </row>
    <row r="99">
      <c r="A99" s="7" t="inlineStr">
        <is>
          <t>TX-10006</t>
        </is>
      </c>
      <c r="B99" s="7" t="inlineStr">
        <is>
          <t>7100</t>
        </is>
      </c>
      <c r="C99" s="6" t="inlineStr">
        <is>
          <t>Bilgodtgjørelse feltarbeid - Okt 2026 (Fellesadministrasjon)</t>
        </is>
      </c>
      <c r="D99" s="34" t="n">
        <v>8478.65</v>
      </c>
      <c r="E99" s="7" t="inlineStr">
        <is>
          <t>EMP-116</t>
        </is>
      </c>
      <c r="F99" s="7" t="inlineStr">
        <is>
          <t>EMP-114</t>
        </is>
      </c>
      <c r="G99" s="66" t="n">
        <v>1</v>
      </c>
      <c r="H99" s="6" t="inlineStr">
        <is>
          <t>Bilgodtgjørelse feltarbeid - Okt 2026 (Fellesadministrasjon)</t>
        </is>
      </c>
      <c r="I99" s="6">
        <f>IF(E99=F99, "BRUDD: Egengodkjenning", IF(G99=0, "MANGLER BILAG", "OK"))</f>
        <v/>
      </c>
    </row>
    <row r="100">
      <c r="A100" s="7" t="inlineStr">
        <is>
          <t>TX-10007</t>
        </is>
      </c>
      <c r="B100" s="7" t="inlineStr">
        <is>
          <t>3400</t>
        </is>
      </c>
      <c r="C100" s="6" t="inlineStr">
        <is>
          <t>Oppdragsinntekter BOA - Okt 2026 (Helse- og Idrettsvitenskap)</t>
        </is>
      </c>
      <c r="D100" s="34" t="n">
        <v>-83694.07000000001</v>
      </c>
      <c r="E100" s="7" t="inlineStr">
        <is>
          <t>EMP-118</t>
        </is>
      </c>
      <c r="F100" s="7" t="inlineStr">
        <is>
          <t>EMP-102</t>
        </is>
      </c>
      <c r="G100" s="66" t="n">
        <v>1</v>
      </c>
      <c r="H100" s="6" t="inlineStr">
        <is>
          <t>Oppdragsinntekter BOA - Okt 2026 (Helse- og Idrettsvitenskap)</t>
        </is>
      </c>
      <c r="I100" s="6">
        <f>IF(E100=F100, "BRUDD: Egengodkjenning", IF(G100=0, "MANGLER BILAG", "OK"))</f>
        <v/>
      </c>
    </row>
    <row r="101">
      <c r="A101" s="7" t="inlineStr">
        <is>
          <t>TX-10008</t>
        </is>
      </c>
      <c r="B101" s="7" t="inlineStr">
        <is>
          <t>7100</t>
        </is>
      </c>
      <c r="C101" s="6" t="inlineStr">
        <is>
          <t>Bilgodtgjørelse feltarbeid - Okt 2026 (Helse- og Idrettsvitenskap)</t>
        </is>
      </c>
      <c r="D101" s="34" t="n">
        <v>22018.3</v>
      </c>
      <c r="E101" s="7" t="inlineStr">
        <is>
          <t>EMP-119</t>
        </is>
      </c>
      <c r="F101" s="7" t="inlineStr">
        <is>
          <t>EMP-106</t>
        </is>
      </c>
      <c r="G101" s="66" t="n">
        <v>1</v>
      </c>
      <c r="H101" s="6" t="inlineStr">
        <is>
          <t>Bilgodtgjørelse feltarbeid - Okt 2026 (Helse- og Idrettsvitenskap)</t>
        </is>
      </c>
      <c r="I101" s="6">
        <f>IF(E101=F101, "BRUDD: Egengodkjenning", IF(G101=0, "MANGLER BILAG", "OK"))</f>
        <v/>
      </c>
    </row>
    <row r="102">
      <c r="A102" s="7" t="inlineStr">
        <is>
          <t>TX-10009</t>
        </is>
      </c>
      <c r="B102" s="7" t="inlineStr">
        <is>
          <t>7130</t>
        </is>
      </c>
      <c r="C102" s="6" t="inlineStr">
        <is>
          <t>Reiseregning fagsamling - Okt 2026 (Handelshøyskolen)</t>
        </is>
      </c>
      <c r="D102" s="34" t="n">
        <v>2648.57</v>
      </c>
      <c r="E102" s="7" t="inlineStr">
        <is>
          <t>EMP-106</t>
        </is>
      </c>
      <c r="F102" s="7" t="inlineStr">
        <is>
          <t>EMP-118</t>
        </is>
      </c>
      <c r="G102" s="66" t="n">
        <v>1</v>
      </c>
      <c r="H102" s="6" t="inlineStr">
        <is>
          <t>Reiseregning fagsamling - Okt 2026 (Handelshøyskolen)</t>
        </is>
      </c>
      <c r="I102" s="6">
        <f>IF(E102=F102, "BRUDD: Egengodkjenning", IF(G102=0, "MANGLER BILAG", "OK"))</f>
        <v/>
      </c>
    </row>
    <row r="103">
      <c r="A103" s="7" t="inlineStr">
        <is>
          <t>TX-10010</t>
        </is>
      </c>
      <c r="B103" s="7" t="inlineStr">
        <is>
          <t>5330</t>
        </is>
      </c>
      <c r="C103" s="6" t="inlineStr">
        <is>
          <t>Sensorhonorarer - Okt 2026 (Fellesadministrasjon)</t>
        </is>
      </c>
      <c r="D103" s="34" t="n">
        <v>12378.86</v>
      </c>
      <c r="E103" s="7" t="inlineStr">
        <is>
          <t>EMP-111</t>
        </is>
      </c>
      <c r="F103" s="7" t="inlineStr">
        <is>
          <t>EMP-115</t>
        </is>
      </c>
      <c r="G103" s="66" t="n">
        <v>1</v>
      </c>
      <c r="H103" s="6" t="inlineStr">
        <is>
          <t>Sensorhonorarer - Okt 2026 (Fellesadministrasjon)</t>
        </is>
      </c>
      <c r="I103" s="6">
        <f>IF(E103=F103, "BRUDD: Egengodkjenning", IF(G103=0, "MANGLER BILAG", "OK"))</f>
        <v/>
      </c>
    </row>
    <row r="104">
      <c r="A104" s="7" t="inlineStr">
        <is>
          <t>TX-10011</t>
        </is>
      </c>
      <c r="B104" s="7" t="inlineStr">
        <is>
          <t>5000</t>
        </is>
      </c>
      <c r="C104" s="6" t="inlineStr">
        <is>
          <t>Fast Lønn - Okt 2026 (Fellesadministrasjon)</t>
        </is>
      </c>
      <c r="D104" s="34" t="n">
        <v>56268.31</v>
      </c>
      <c r="E104" s="7" t="inlineStr">
        <is>
          <t>EMP-103</t>
        </is>
      </c>
      <c r="F104" s="7" t="inlineStr">
        <is>
          <t>EMP-104</t>
        </is>
      </c>
      <c r="G104" s="66" t="n">
        <v>1</v>
      </c>
      <c r="H104" s="6" t="inlineStr">
        <is>
          <t>Fast Lønn - Okt 2026 (Fellesadministrasjon)</t>
        </is>
      </c>
      <c r="I104" s="6">
        <f>IF(E104=F104, "BRUDD: Egengodkjenning", IF(G104=0, "MANGLER BILAG", "OK"))</f>
        <v/>
      </c>
    </row>
    <row r="105">
      <c r="A105" s="7" t="inlineStr">
        <is>
          <t>TX-10012</t>
        </is>
      </c>
      <c r="B105" s="7" t="inlineStr">
        <is>
          <t>6800</t>
        </is>
      </c>
      <c r="C105" s="6" t="inlineStr">
        <is>
          <t>Kontorrekvisita - Okt 2026 (Fellesadministrasjon)</t>
        </is>
      </c>
      <c r="D105" s="34" t="n">
        <v>7736.96</v>
      </c>
      <c r="E105" s="7" t="inlineStr">
        <is>
          <t>EMP-113</t>
        </is>
      </c>
      <c r="F105" s="7" t="inlineStr">
        <is>
          <t>EMP-101</t>
        </is>
      </c>
      <c r="G105" s="66" t="n">
        <v>1</v>
      </c>
      <c r="H105" s="6" t="inlineStr">
        <is>
          <t>Kontorrekvisita - Okt 2026 (Fellesadministrasjon)</t>
        </is>
      </c>
      <c r="I105" s="6">
        <f>IF(E105=F105, "BRUDD: Egengodkjenning", IF(G105=0, "MANGLER BILAG", "OK"))</f>
        <v/>
      </c>
    </row>
    <row r="106">
      <c r="A106" s="7" t="inlineStr">
        <is>
          <t>TX-10013</t>
        </is>
      </c>
      <c r="B106" s="7" t="inlineStr">
        <is>
          <t>5000</t>
        </is>
      </c>
      <c r="C106" s="6" t="inlineStr">
        <is>
          <t>Fast Lønn - Okt 2026 (Handelshøyskolen)</t>
        </is>
      </c>
      <c r="D106" s="34" t="n">
        <v>63243.06</v>
      </c>
      <c r="E106" s="7" t="inlineStr">
        <is>
          <t>EMP-107</t>
        </is>
      </c>
      <c r="F106" s="7" t="inlineStr">
        <is>
          <t>EMP-106</t>
        </is>
      </c>
      <c r="G106" s="66" t="n">
        <v>1</v>
      </c>
      <c r="H106" s="6" t="inlineStr">
        <is>
          <t>Fast Lønn - Okt 2026 (Handelshøyskolen)</t>
        </is>
      </c>
      <c r="I106" s="6">
        <f>IF(E106=F106, "BRUDD: Egengodkjenning", IF(G106=0, "MANGLER BILAG", "OK"))</f>
        <v/>
      </c>
    </row>
    <row r="107">
      <c r="A107" s="7" t="inlineStr">
        <is>
          <t>TX-10014</t>
        </is>
      </c>
      <c r="B107" s="7" t="inlineStr">
        <is>
          <t>7130</t>
        </is>
      </c>
      <c r="C107" s="6" t="inlineStr">
        <is>
          <t>Reiseregning fagsamling - Okt 2026 (Helse- og Idrettsvitenskap)</t>
        </is>
      </c>
      <c r="D107" s="34" t="n">
        <v>14482.34</v>
      </c>
      <c r="E107" s="7" t="inlineStr">
        <is>
          <t>EMP-104</t>
        </is>
      </c>
      <c r="F107" s="7" t="inlineStr">
        <is>
          <t>EMP-101</t>
        </is>
      </c>
      <c r="G107" s="66" t="n">
        <v>1</v>
      </c>
      <c r="H107" s="6" t="inlineStr">
        <is>
          <t>Reiseregning fagsamling - Okt 2026 (Helse- og Idrettsvitenskap)</t>
        </is>
      </c>
      <c r="I107" s="6">
        <f>IF(E107=F107, "BRUDD: Egengodkjenning", IF(G107=0, "MANGLER BILAG", "OK"))</f>
        <v/>
      </c>
    </row>
    <row r="108">
      <c r="A108" s="7" t="inlineStr">
        <is>
          <t>TX-10015</t>
        </is>
      </c>
      <c r="B108" s="7" t="inlineStr">
        <is>
          <t>6800</t>
        </is>
      </c>
      <c r="C108" s="6" t="inlineStr">
        <is>
          <t>Kontorrekvisita - Okt 2026 (Handelshøyskolen)</t>
        </is>
      </c>
      <c r="D108" s="34" t="n">
        <v>15694.76</v>
      </c>
      <c r="E108" s="7" t="inlineStr">
        <is>
          <t>EMP-106</t>
        </is>
      </c>
      <c r="F108" s="7" t="inlineStr">
        <is>
          <t>EMP-117</t>
        </is>
      </c>
      <c r="G108" s="66" t="n">
        <v>1</v>
      </c>
      <c r="H108" s="6" t="inlineStr">
        <is>
          <t>Kontorrekvisita - Okt 2026 (Handelshøyskolen)</t>
        </is>
      </c>
      <c r="I108" s="6">
        <f>IF(E108=F108, "BRUDD: Egengodkjenning", IF(G108=0, "MANGLER BILAG", "OK"))</f>
        <v/>
      </c>
    </row>
    <row r="109">
      <c r="A109" s="67" t="inlineStr">
        <is>
          <t>TX-10016</t>
        </is>
      </c>
      <c r="B109" s="67" t="inlineStr">
        <is>
          <t>5000</t>
        </is>
      </c>
      <c r="C109" s="19" t="inlineStr">
        <is>
          <t>Fast Lønn - Okt 2026 (Handelshøyskolen)</t>
        </is>
      </c>
      <c r="D109" s="72" t="n">
        <v>63962.81</v>
      </c>
      <c r="E109" s="67" t="inlineStr">
        <is>
          <t>EMP-109</t>
        </is>
      </c>
      <c r="F109" s="67" t="inlineStr">
        <is>
          <t>EMP-109</t>
        </is>
      </c>
      <c r="G109" s="69" t="n">
        <v>1</v>
      </c>
      <c r="H109" s="19" t="inlineStr">
        <is>
          <t>Fast Lønn - Okt 2026 (Handelshøyskolen)</t>
        </is>
      </c>
      <c r="I109" s="18">
        <f>IF(E109=F109, "BRUDD: Egengodkjenning", IF(G109=0, "MANGLER BILAG", "OK"))</f>
        <v/>
      </c>
    </row>
    <row r="110">
      <c r="A110" s="7" t="inlineStr">
        <is>
          <t>TX-10017</t>
        </is>
      </c>
      <c r="B110" s="7" t="inlineStr">
        <is>
          <t>7100</t>
        </is>
      </c>
      <c r="C110" s="6" t="inlineStr">
        <is>
          <t>Bilgodtgjørelse feltarbeid - Okt 2026 (Fellesadministrasjon)</t>
        </is>
      </c>
      <c r="D110" s="34" t="n">
        <v>23100.56</v>
      </c>
      <c r="E110" s="7" t="inlineStr">
        <is>
          <t>EMP-114</t>
        </is>
      </c>
      <c r="F110" s="7" t="inlineStr">
        <is>
          <t>EMP-112</t>
        </is>
      </c>
      <c r="G110" s="66" t="n">
        <v>1</v>
      </c>
      <c r="H110" s="6" t="inlineStr">
        <is>
          <t>Bilgodtgjørelse feltarbeid - Okt 2026 (Fellesadministrasjon)</t>
        </is>
      </c>
      <c r="I110" s="6">
        <f>IF(E110=F110, "BRUDD: Egengodkjenning", IF(G110=0, "MANGLER BILAG", "OK"))</f>
        <v/>
      </c>
    </row>
    <row r="111">
      <c r="A111" s="7" t="inlineStr">
        <is>
          <t>TX-10018</t>
        </is>
      </c>
      <c r="B111" s="7" t="inlineStr">
        <is>
          <t>5000</t>
        </is>
      </c>
      <c r="C111" s="6" t="inlineStr">
        <is>
          <t>Fast Lønn - Okt 2026 (Fellesadministrasjon)</t>
        </is>
      </c>
      <c r="D111" s="34" t="n">
        <v>57869.83</v>
      </c>
      <c r="E111" s="7" t="inlineStr">
        <is>
          <t>EMP-108</t>
        </is>
      </c>
      <c r="F111" s="7" t="inlineStr">
        <is>
          <t>EMP-111</t>
        </is>
      </c>
      <c r="G111" s="66" t="n">
        <v>1</v>
      </c>
      <c r="H111" s="6" t="inlineStr">
        <is>
          <t>Fast Lønn - Okt 2026 (Fellesadministrasjon)</t>
        </is>
      </c>
      <c r="I111" s="6">
        <f>IF(E111=F111, "BRUDD: Egengodkjenning", IF(G111=0, "MANGLER BILAG", "OK"))</f>
        <v/>
      </c>
    </row>
    <row r="112">
      <c r="A112" s="7" t="inlineStr">
        <is>
          <t>TX-10019</t>
        </is>
      </c>
      <c r="B112" s="7" t="inlineStr">
        <is>
          <t>7130</t>
        </is>
      </c>
      <c r="C112" s="6" t="inlineStr">
        <is>
          <t>Reiseregning fagsamling - Okt 2026 (Fellesadministrasjon)</t>
        </is>
      </c>
      <c r="D112" s="34" t="n">
        <v>9478.129999999999</v>
      </c>
      <c r="E112" s="7" t="inlineStr">
        <is>
          <t>EMP-112</t>
        </is>
      </c>
      <c r="F112" s="7" t="inlineStr">
        <is>
          <t>EMP-109</t>
        </is>
      </c>
      <c r="G112" s="66" t="n">
        <v>1</v>
      </c>
      <c r="H112" s="6" t="inlineStr">
        <is>
          <t>Reiseregning fagsamling - Okt 2026 (Fellesadministrasjon)</t>
        </is>
      </c>
      <c r="I112" s="6">
        <f>IF(E112=F112, "BRUDD: Egengodkjenning", IF(G112=0, "MANGLER BILAG", "OK"))</f>
        <v/>
      </c>
    </row>
    <row r="113">
      <c r="A113" s="67" t="inlineStr">
        <is>
          <t>TX-10020</t>
        </is>
      </c>
      <c r="B113" s="67" t="inlineStr">
        <is>
          <t>3400</t>
        </is>
      </c>
      <c r="C113" s="19" t="inlineStr">
        <is>
          <t>Oppdragsinntekter BOA - Okt 2026 (Handelshøyskolen)</t>
        </is>
      </c>
      <c r="D113" s="72" t="n">
        <v>-53620.64</v>
      </c>
      <c r="E113" s="67" t="inlineStr">
        <is>
          <t>EMP-105</t>
        </is>
      </c>
      <c r="F113" s="67" t="inlineStr">
        <is>
          <t>EMP-105</t>
        </is>
      </c>
      <c r="G113" s="69" t="n">
        <v>1</v>
      </c>
      <c r="H113" s="19" t="inlineStr">
        <is>
          <t>Oppdragsinntekter BOA - Okt 2026 (Handelshøyskolen)</t>
        </is>
      </c>
      <c r="I113" s="18">
        <f>IF(E113=F113, "BRUDD: Egengodkjenning", IF(G113=0, "MANGLER BILAG", "OK"))</f>
        <v/>
      </c>
    </row>
    <row r="114">
      <c r="A114" s="7" t="inlineStr">
        <is>
          <t>TX-10021</t>
        </is>
      </c>
      <c r="B114" s="7" t="inlineStr">
        <is>
          <t>3400</t>
        </is>
      </c>
      <c r="C114" s="6" t="inlineStr">
        <is>
          <t>Oppdragsinntekter BOA - Okt 2026 (Fellesadministrasjon)</t>
        </is>
      </c>
      <c r="D114" s="34" t="n">
        <v>-53889.89</v>
      </c>
      <c r="E114" s="7" t="inlineStr">
        <is>
          <t>EMP-115</t>
        </is>
      </c>
      <c r="F114" s="7" t="inlineStr">
        <is>
          <t>EMP-110</t>
        </is>
      </c>
      <c r="G114" s="66" t="n">
        <v>1</v>
      </c>
      <c r="H114" s="6" t="inlineStr">
        <is>
          <t>Oppdragsinntekter BOA - Okt 2026 (Fellesadministrasjon)</t>
        </is>
      </c>
      <c r="I114" s="6">
        <f>IF(E114=F114, "BRUDD: Egengodkjenning", IF(G114=0, "MANGLER BILAG", "OK"))</f>
        <v/>
      </c>
    </row>
    <row r="115">
      <c r="A115" s="7" t="inlineStr">
        <is>
          <t>TX-10022</t>
        </is>
      </c>
      <c r="B115" s="7" t="inlineStr">
        <is>
          <t>7130</t>
        </is>
      </c>
      <c r="C115" s="6" t="inlineStr">
        <is>
          <t>Reiseregning fagsamling - Okt 2026 (Helse- og Idrettsvitenskap)</t>
        </is>
      </c>
      <c r="D115" s="34" t="n">
        <v>18667.66</v>
      </c>
      <c r="E115" s="7" t="inlineStr">
        <is>
          <t>EMP-115</t>
        </is>
      </c>
      <c r="F115" s="7" t="inlineStr">
        <is>
          <t>EMP-110</t>
        </is>
      </c>
      <c r="G115" s="66" t="n">
        <v>1</v>
      </c>
      <c r="H115" s="6" t="inlineStr">
        <is>
          <t>Reiseregning fagsamling - Okt 2026 (Helse- og Idrettsvitenskap)</t>
        </is>
      </c>
      <c r="I115" s="6">
        <f>IF(E115=F115, "BRUDD: Egengodkjenning", IF(G115=0, "MANGLER BILAG", "OK"))</f>
        <v/>
      </c>
    </row>
    <row r="116">
      <c r="A116" s="7" t="inlineStr">
        <is>
          <t>TX-10023</t>
        </is>
      </c>
      <c r="B116" s="7" t="inlineStr">
        <is>
          <t>5330</t>
        </is>
      </c>
      <c r="C116" s="6" t="inlineStr">
        <is>
          <t>Sensorhonorarer - Okt 2026 (Teknologi og Realfag)</t>
        </is>
      </c>
      <c r="D116" s="34" t="n">
        <v>17566.2</v>
      </c>
      <c r="E116" s="7" t="inlineStr">
        <is>
          <t>EMP-101</t>
        </is>
      </c>
      <c r="F116" s="7" t="inlineStr">
        <is>
          <t>EMP-107</t>
        </is>
      </c>
      <c r="G116" s="66" t="n">
        <v>1</v>
      </c>
      <c r="H116" s="6" t="inlineStr">
        <is>
          <t>Sensorhonorarer - Okt 2026 (Teknologi og Realfag)</t>
        </is>
      </c>
      <c r="I116" s="6">
        <f>IF(E116=F116, "BRUDD: Egengodkjenning", IF(G116=0, "MANGLER BILAG", "OK"))</f>
        <v/>
      </c>
    </row>
    <row r="117">
      <c r="A117" s="67" t="inlineStr">
        <is>
          <t>TX-10024</t>
        </is>
      </c>
      <c r="B117" s="67" t="inlineStr">
        <is>
          <t>7100</t>
        </is>
      </c>
      <c r="C117" s="19" t="inlineStr">
        <is>
          <t>Bilgodtgjørelse feltarbeid - Okt 2026 (Helse- og Idrettsvitenskap)</t>
        </is>
      </c>
      <c r="D117" s="72" t="n">
        <v>19138.79</v>
      </c>
      <c r="E117" s="67" t="inlineStr">
        <is>
          <t>EMP-107</t>
        </is>
      </c>
      <c r="F117" s="67" t="inlineStr">
        <is>
          <t>EMP-107</t>
        </is>
      </c>
      <c r="G117" s="69" t="n">
        <v>1</v>
      </c>
      <c r="H117" s="19" t="inlineStr">
        <is>
          <t>Bilgodtgjørelse feltarbeid - Okt 2026 (Helse- og Idrettsvitenskap)</t>
        </is>
      </c>
      <c r="I117" s="18">
        <f>IF(E117=F117, "BRUDD: Egengodkjenning", IF(G117=0, "MANGLER BILAG", "OK"))</f>
        <v/>
      </c>
    </row>
    <row r="118">
      <c r="A118" s="67" t="inlineStr">
        <is>
          <t>TX-10025</t>
        </is>
      </c>
      <c r="B118" s="67" t="inlineStr">
        <is>
          <t>7150</t>
        </is>
      </c>
      <c r="C118" s="19" t="inlineStr">
        <is>
          <t>Utenlandsreise fagkonferanse - Okt 2026 (Fellesadministrasjon)</t>
        </is>
      </c>
      <c r="D118" s="72" t="n">
        <v>6928.94</v>
      </c>
      <c r="E118" s="67" t="inlineStr">
        <is>
          <t>EMP-110</t>
        </is>
      </c>
      <c r="F118" s="67" t="inlineStr">
        <is>
          <t>EMP-110</t>
        </is>
      </c>
      <c r="G118" s="69" t="n">
        <v>1</v>
      </c>
      <c r="H118" s="19" t="inlineStr">
        <is>
          <t>Utenlandsreise fagkonferanse - Okt 2026 (Fellesadministrasjon)</t>
        </is>
      </c>
      <c r="I118" s="18">
        <f>IF(E118=F118, "BRUDD: Egengodkjenning", IF(G118=0, "MANGLER BILAG", "OK"))</f>
        <v/>
      </c>
    </row>
    <row r="119">
      <c r="A119" s="7" t="inlineStr">
        <is>
          <t>TX-10026</t>
        </is>
      </c>
      <c r="B119" s="7" t="inlineStr">
        <is>
          <t>7130</t>
        </is>
      </c>
      <c r="C119" s="6" t="inlineStr">
        <is>
          <t>Reiseregning fagsamling - Okt 2026 (Helse- og Idrettsvitenskap)</t>
        </is>
      </c>
      <c r="D119" s="34" t="n">
        <v>8782.6</v>
      </c>
      <c r="E119" s="7" t="inlineStr">
        <is>
          <t>EMP-107</t>
        </is>
      </c>
      <c r="F119" s="7" t="inlineStr">
        <is>
          <t>EMP-102</t>
        </is>
      </c>
      <c r="G119" s="66" t="n">
        <v>1</v>
      </c>
      <c r="H119" s="6" t="inlineStr">
        <is>
          <t>Reiseregning fagsamling - Okt 2026 (Helse- og Idrettsvitenskap)</t>
        </is>
      </c>
      <c r="I119" s="6">
        <f>IF(E119=F119, "BRUDD: Egengodkjenning", IF(G119=0, "MANGLER BILAG", "OK"))</f>
        <v/>
      </c>
    </row>
    <row r="120">
      <c r="A120" s="7" t="inlineStr">
        <is>
          <t>TX-10027</t>
        </is>
      </c>
      <c r="B120" s="7" t="inlineStr">
        <is>
          <t>7150</t>
        </is>
      </c>
      <c r="C120" s="6" t="inlineStr">
        <is>
          <t>Utenlandsreise fagkonferanse - Okt 2026 (Fellesadministrasjon)</t>
        </is>
      </c>
      <c r="D120" s="34" t="n">
        <v>16638.63</v>
      </c>
      <c r="E120" s="7" t="inlineStr">
        <is>
          <t>EMP-104</t>
        </is>
      </c>
      <c r="F120" s="7" t="inlineStr">
        <is>
          <t>EMP-103</t>
        </is>
      </c>
      <c r="G120" s="66" t="n">
        <v>1</v>
      </c>
      <c r="H120" s="6" t="inlineStr">
        <is>
          <t>Utenlandsreise fagkonferanse - Okt 2026 (Fellesadministrasjon)</t>
        </is>
      </c>
      <c r="I120" s="6">
        <f>IF(E120=F120, "BRUDD: Egengodkjenning", IF(G120=0, "MANGLER BILAG", "OK"))</f>
        <v/>
      </c>
    </row>
    <row r="121">
      <c r="A121" s="7" t="inlineStr">
        <is>
          <t>TX-10028</t>
        </is>
      </c>
      <c r="B121" s="7" t="inlineStr">
        <is>
          <t>7100</t>
        </is>
      </c>
      <c r="C121" s="6" t="inlineStr">
        <is>
          <t>Bilgodtgjørelse feltarbeid - Okt 2026 (Fellesadministrasjon)</t>
        </is>
      </c>
      <c r="D121" s="34" t="n">
        <v>8786.27</v>
      </c>
      <c r="E121" s="7" t="inlineStr">
        <is>
          <t>EMP-109</t>
        </is>
      </c>
      <c r="F121" s="7" t="inlineStr">
        <is>
          <t>EMP-118</t>
        </is>
      </c>
      <c r="G121" s="66" t="n">
        <v>1</v>
      </c>
      <c r="H121" s="6" t="inlineStr">
        <is>
          <t>Bilgodtgjørelse feltarbeid - Okt 2026 (Fellesadministrasjon)</t>
        </is>
      </c>
      <c r="I121" s="6">
        <f>IF(E121=F121, "BRUDD: Egengodkjenning", IF(G121=0, "MANGLER BILAG", "OK"))</f>
        <v/>
      </c>
    </row>
    <row r="122">
      <c r="A122" s="7" t="inlineStr">
        <is>
          <t>TX-10029</t>
        </is>
      </c>
      <c r="B122" s="7" t="inlineStr">
        <is>
          <t>7100</t>
        </is>
      </c>
      <c r="C122" s="6" t="inlineStr">
        <is>
          <t>Bilgodtgjørelse feltarbeid - Okt 2026 (Fellesadministrasjon)</t>
        </is>
      </c>
      <c r="D122" s="34" t="n">
        <v>23896.9</v>
      </c>
      <c r="E122" s="7" t="inlineStr">
        <is>
          <t>EMP-104</t>
        </is>
      </c>
      <c r="F122" s="7" t="inlineStr">
        <is>
          <t>EMP-114</t>
        </is>
      </c>
      <c r="G122" s="66" t="n">
        <v>1</v>
      </c>
      <c r="H122" s="6" t="inlineStr">
        <is>
          <t>Bilgodtgjørelse feltarbeid - Okt 2026 (Fellesadministrasjon)</t>
        </is>
      </c>
      <c r="I122" s="6">
        <f>IF(E122=F122, "BRUDD: Egengodkjenning", IF(G122=0, "MANGLER BILAG", "OK"))</f>
        <v/>
      </c>
    </row>
    <row r="123">
      <c r="A123" s="7" t="inlineStr">
        <is>
          <t>TX-10030</t>
        </is>
      </c>
      <c r="B123" s="7" t="inlineStr">
        <is>
          <t>5330</t>
        </is>
      </c>
      <c r="C123" s="6" t="inlineStr">
        <is>
          <t>Sensorhonorarer - Okt 2026 (Helse- og Idrettsvitenskap)</t>
        </is>
      </c>
      <c r="D123" s="34" t="n">
        <v>7845.36</v>
      </c>
      <c r="E123" s="7" t="inlineStr">
        <is>
          <t>EMP-101</t>
        </is>
      </c>
      <c r="F123" s="7" t="inlineStr">
        <is>
          <t>EMP-117</t>
        </is>
      </c>
      <c r="G123" s="66" t="n">
        <v>1</v>
      </c>
      <c r="H123" s="6" t="inlineStr">
        <is>
          <t>Sensorhonorarer - Okt 2026 (Helse- og Idrettsvitenskap)</t>
        </is>
      </c>
      <c r="I123" s="6">
        <f>IF(E123=F123, "BRUDD: Egengodkjenning", IF(G123=0, "MANGLER BILAG", "OK"))</f>
        <v/>
      </c>
    </row>
    <row r="124">
      <c r="A124" s="7" t="inlineStr">
        <is>
          <t>TX-10031</t>
        </is>
      </c>
      <c r="B124" s="7" t="inlineStr">
        <is>
          <t>3400</t>
        </is>
      </c>
      <c r="C124" s="6" t="inlineStr">
        <is>
          <t>Oppdragsinntekter BOA - Okt 2026 (Teknologi og Realfag)</t>
        </is>
      </c>
      <c r="D124" s="34" t="n">
        <v>-114969.54</v>
      </c>
      <c r="E124" s="7" t="inlineStr">
        <is>
          <t>EMP-102</t>
        </is>
      </c>
      <c r="F124" s="7" t="inlineStr">
        <is>
          <t>EMP-101</t>
        </is>
      </c>
      <c r="G124" s="66" t="n">
        <v>1</v>
      </c>
      <c r="H124" s="6" t="inlineStr">
        <is>
          <t>Oppdragsinntekter BOA - Okt 2026 (Teknologi og Realfag)</t>
        </is>
      </c>
      <c r="I124" s="6">
        <f>IF(E124=F124, "BRUDD: Egengodkjenning", IF(G124=0, "MANGLER BILAG", "OK"))</f>
        <v/>
      </c>
    </row>
    <row r="125">
      <c r="A125" s="7" t="inlineStr">
        <is>
          <t>TX-10032</t>
        </is>
      </c>
      <c r="B125" s="7" t="inlineStr">
        <is>
          <t>3400</t>
        </is>
      </c>
      <c r="C125" s="6" t="inlineStr">
        <is>
          <t>Oppdragsinntekter BOA - Okt 2026 (Helse- og Idrettsvitenskap)</t>
        </is>
      </c>
      <c r="D125" s="34" t="n">
        <v>-48689.03</v>
      </c>
      <c r="E125" s="7" t="inlineStr">
        <is>
          <t>EMP-102</t>
        </is>
      </c>
      <c r="F125" s="7" t="inlineStr">
        <is>
          <t>EMP-118</t>
        </is>
      </c>
      <c r="G125" s="66" t="n">
        <v>1</v>
      </c>
      <c r="H125" s="6" t="inlineStr">
        <is>
          <t>Oppdragsinntekter BOA - Okt 2026 (Helse- og Idrettsvitenskap)</t>
        </is>
      </c>
      <c r="I125" s="6">
        <f>IF(E125=F125, "BRUDD: Egengodkjenning", IF(G125=0, "MANGLER BILAG", "OK"))</f>
        <v/>
      </c>
    </row>
    <row r="126">
      <c r="A126" s="7" t="inlineStr">
        <is>
          <t>TX-10033</t>
        </is>
      </c>
      <c r="B126" s="7" t="inlineStr">
        <is>
          <t>6800</t>
        </is>
      </c>
      <c r="C126" s="6" t="inlineStr">
        <is>
          <t>Kontorrekvisita - Okt 2026 (Handelshøyskolen)</t>
        </is>
      </c>
      <c r="D126" s="34" t="n">
        <v>1837.32</v>
      </c>
      <c r="E126" s="7" t="inlineStr">
        <is>
          <t>EMP-108</t>
        </is>
      </c>
      <c r="F126" s="7" t="inlineStr">
        <is>
          <t>EMP-116</t>
        </is>
      </c>
      <c r="G126" s="66" t="n">
        <v>1</v>
      </c>
      <c r="H126" s="6" t="inlineStr">
        <is>
          <t>Kontorrekvisita - Okt 2026 (Handelshøyskolen)</t>
        </is>
      </c>
      <c r="I126" s="6">
        <f>IF(E126=F126, "BRUDD: Egengodkjenning", IF(G126=0, "MANGLER BILAG", "OK"))</f>
        <v/>
      </c>
    </row>
    <row r="127">
      <c r="A127" s="7" t="inlineStr">
        <is>
          <t>TX-10034</t>
        </is>
      </c>
      <c r="B127" s="7" t="inlineStr">
        <is>
          <t>5000</t>
        </is>
      </c>
      <c r="C127" s="6" t="inlineStr">
        <is>
          <t>Fast Lønn - Okt 2026 (Teknologi og Realfag)</t>
        </is>
      </c>
      <c r="D127" s="34" t="n">
        <v>44443.72</v>
      </c>
      <c r="E127" s="7" t="inlineStr">
        <is>
          <t>EMP-101</t>
        </is>
      </c>
      <c r="F127" s="7" t="inlineStr">
        <is>
          <t>EMP-113</t>
        </is>
      </c>
      <c r="G127" s="66" t="n">
        <v>1</v>
      </c>
      <c r="H127" s="6" t="inlineStr">
        <is>
          <t>Fast Lønn - Okt 2026 (Teknologi og Realfag)</t>
        </is>
      </c>
      <c r="I127" s="6">
        <f>IF(E127=F127, "BRUDD: Egengodkjenning", IF(G127=0, "MANGLER BILAG", "OK"))</f>
        <v/>
      </c>
    </row>
    <row r="128">
      <c r="A128" s="7" t="inlineStr">
        <is>
          <t>TX-10035</t>
        </is>
      </c>
      <c r="B128" s="7" t="inlineStr">
        <is>
          <t>3400</t>
        </is>
      </c>
      <c r="C128" s="6" t="inlineStr">
        <is>
          <t>Oppdragsinntekter BOA - Okt 2026 (Fellesadministrasjon)</t>
        </is>
      </c>
      <c r="D128" s="34" t="n">
        <v>-64427.92</v>
      </c>
      <c r="E128" s="7" t="inlineStr">
        <is>
          <t>EMP-109</t>
        </is>
      </c>
      <c r="F128" s="7" t="inlineStr">
        <is>
          <t>EMP-117</t>
        </is>
      </c>
      <c r="G128" s="66" t="n">
        <v>1</v>
      </c>
      <c r="H128" s="6" t="inlineStr">
        <is>
          <t>Oppdragsinntekter BOA - Okt 2026 (Fellesadministrasjon)</t>
        </is>
      </c>
      <c r="I128" s="6">
        <f>IF(E128=F128, "BRUDD: Egengodkjenning", IF(G128=0, "MANGLER BILAG", "OK"))</f>
        <v/>
      </c>
    </row>
    <row r="129">
      <c r="A129" s="7" t="inlineStr">
        <is>
          <t>TX-10036</t>
        </is>
      </c>
      <c r="B129" s="7" t="inlineStr">
        <is>
          <t>7130</t>
        </is>
      </c>
      <c r="C129" s="6" t="inlineStr">
        <is>
          <t>Reiseregning fagsamling - Okt 2026 (Handelshøyskolen)</t>
        </is>
      </c>
      <c r="D129" s="34" t="n">
        <v>23482.53</v>
      </c>
      <c r="E129" s="7" t="inlineStr">
        <is>
          <t>EMP-103</t>
        </is>
      </c>
      <c r="F129" s="7" t="inlineStr">
        <is>
          <t>EMP-112</t>
        </is>
      </c>
      <c r="G129" s="66" t="n">
        <v>1</v>
      </c>
      <c r="H129" s="6" t="inlineStr">
        <is>
          <t>Reiseregning fagsamling - Okt 2026 (Handelshøyskolen)</t>
        </is>
      </c>
      <c r="I129" s="6">
        <f>IF(E129=F129, "BRUDD: Egengodkjenning", IF(G129=0, "MANGLER BILAG", "OK"))</f>
        <v/>
      </c>
    </row>
    <row r="130">
      <c r="A130" s="7" t="inlineStr">
        <is>
          <t>TX-10037</t>
        </is>
      </c>
      <c r="B130" s="7" t="inlineStr">
        <is>
          <t>3400</t>
        </is>
      </c>
      <c r="C130" s="6" t="inlineStr">
        <is>
          <t>Oppdragsinntekter BOA - Okt 2026 (Fellesadministrasjon)</t>
        </is>
      </c>
      <c r="D130" s="34" t="n">
        <v>-72892.91</v>
      </c>
      <c r="E130" s="7" t="inlineStr">
        <is>
          <t>EMP-109</t>
        </is>
      </c>
      <c r="F130" s="7" t="inlineStr">
        <is>
          <t>EMP-119</t>
        </is>
      </c>
      <c r="G130" s="66" t="n">
        <v>1</v>
      </c>
      <c r="H130" s="6" t="inlineStr">
        <is>
          <t>Oppdragsinntekter BOA - Okt 2026 (Fellesadministrasjon)</t>
        </is>
      </c>
      <c r="I130" s="6">
        <f>IF(E130=F130, "BRUDD: Egengodkjenning", IF(G130=0, "MANGLER BILAG", "OK"))</f>
        <v/>
      </c>
    </row>
    <row r="131">
      <c r="A131" s="7" t="inlineStr">
        <is>
          <t>TX-10038</t>
        </is>
      </c>
      <c r="B131" s="7" t="inlineStr">
        <is>
          <t>7150</t>
        </is>
      </c>
      <c r="C131" s="6" t="inlineStr">
        <is>
          <t>Utenlandsreise fagkonferanse - Okt 2026 (Teknologi og Realfag)</t>
        </is>
      </c>
      <c r="D131" s="34" t="n">
        <v>18151</v>
      </c>
      <c r="E131" s="7" t="inlineStr">
        <is>
          <t>EMP-114</t>
        </is>
      </c>
      <c r="F131" s="7" t="inlineStr">
        <is>
          <t>EMP-105</t>
        </is>
      </c>
      <c r="G131" s="66" t="n">
        <v>1</v>
      </c>
      <c r="H131" s="6" t="inlineStr">
        <is>
          <t>Utenlandsreise fagkonferanse - Okt 2026 (Teknologi og Realfag)</t>
        </is>
      </c>
      <c r="I131" s="6">
        <f>IF(E131=F131, "BRUDD: Egengodkjenning", IF(G131=0, "MANGLER BILAG", "OK"))</f>
        <v/>
      </c>
    </row>
    <row r="132">
      <c r="A132" s="67" t="inlineStr">
        <is>
          <t>TX-10039</t>
        </is>
      </c>
      <c r="B132" s="67" t="inlineStr">
        <is>
          <t>5330</t>
        </is>
      </c>
      <c r="C132" s="19" t="inlineStr">
        <is>
          <t>Sensorhonorarer - Okt 2026 (Helse- og Idrettsvitenskap)</t>
        </is>
      </c>
      <c r="D132" s="72" t="n">
        <v>15359.17</v>
      </c>
      <c r="E132" s="67" t="inlineStr">
        <is>
          <t>EMP-110</t>
        </is>
      </c>
      <c r="F132" s="67" t="inlineStr">
        <is>
          <t>EMP-110</t>
        </is>
      </c>
      <c r="G132" s="69" t="n">
        <v>1</v>
      </c>
      <c r="H132" s="19" t="inlineStr">
        <is>
          <t>Sensorhonorarer - Okt 2026 (Helse- og Idrettsvitenskap)</t>
        </is>
      </c>
      <c r="I132" s="18">
        <f>IF(E132=F132, "BRUDD: Egengodkjenning", IF(G132=0, "MANGLER BILAG", "OK"))</f>
        <v/>
      </c>
    </row>
    <row r="133">
      <c r="A133" s="7" t="inlineStr">
        <is>
          <t>TX-10040</t>
        </is>
      </c>
      <c r="B133" s="7" t="inlineStr">
        <is>
          <t>5000</t>
        </is>
      </c>
      <c r="C133" s="6" t="inlineStr">
        <is>
          <t>Fast Lønn - Okt 2026 (Handelshøyskolen)</t>
        </is>
      </c>
      <c r="D133" s="34" t="n">
        <v>62863.97</v>
      </c>
      <c r="E133" s="7" t="inlineStr">
        <is>
          <t>EMP-114</t>
        </is>
      </c>
      <c r="F133" s="7" t="inlineStr">
        <is>
          <t>EMP-110</t>
        </is>
      </c>
      <c r="G133" s="66" t="n">
        <v>1</v>
      </c>
      <c r="H133" s="6" t="inlineStr">
        <is>
          <t>Fast Lønn - Okt 2026 (Handelshøyskolen)</t>
        </is>
      </c>
      <c r="I133" s="6">
        <f>IF(E133=F133, "BRUDD: Egengodkjenning", IF(G133=0, "MANGLER BILAG", "OK"))</f>
        <v/>
      </c>
    </row>
    <row r="134">
      <c r="A134" s="7" t="inlineStr">
        <is>
          <t>TX-10041</t>
        </is>
      </c>
      <c r="B134" s="7" t="inlineStr">
        <is>
          <t>3400</t>
        </is>
      </c>
      <c r="C134" s="6" t="inlineStr">
        <is>
          <t>Oppdragsinntekter BOA - Okt 2026 (Handelshøyskolen)</t>
        </is>
      </c>
      <c r="D134" s="34" t="n">
        <v>-49819.84</v>
      </c>
      <c r="E134" s="7" t="inlineStr">
        <is>
          <t>EMP-105</t>
        </is>
      </c>
      <c r="F134" s="7" t="inlineStr">
        <is>
          <t>EMP-109</t>
        </is>
      </c>
      <c r="G134" s="66" t="n">
        <v>1</v>
      </c>
      <c r="H134" s="6" t="inlineStr">
        <is>
          <t>Oppdragsinntekter BOA - Okt 2026 (Handelshøyskolen)</t>
        </is>
      </c>
      <c r="I134" s="6">
        <f>IF(E134=F134, "BRUDD: Egengodkjenning", IF(G134=0, "MANGLER BILAG", "OK"))</f>
        <v/>
      </c>
    </row>
    <row r="135">
      <c r="A135" s="7" t="inlineStr">
        <is>
          <t>TX-10042</t>
        </is>
      </c>
      <c r="B135" s="7" t="inlineStr">
        <is>
          <t>7130</t>
        </is>
      </c>
      <c r="C135" s="6" t="inlineStr">
        <is>
          <t>Reiseregning fagsamling - Okt 2026 (Teknologi og Realfag)</t>
        </is>
      </c>
      <c r="D135" s="34" t="n">
        <v>4218.39</v>
      </c>
      <c r="E135" s="7" t="inlineStr">
        <is>
          <t>EMP-116</t>
        </is>
      </c>
      <c r="F135" s="7" t="inlineStr">
        <is>
          <t>EMP-118</t>
        </is>
      </c>
      <c r="G135" s="66" t="n">
        <v>1</v>
      </c>
      <c r="H135" s="6" t="inlineStr">
        <is>
          <t>Reiseregning fagsamling - Okt 2026 (Teknologi og Realfag)</t>
        </is>
      </c>
      <c r="I135" s="6">
        <f>IF(E135=F135, "BRUDD: Egengodkjenning", IF(G135=0, "MANGLER BILAG", "OK"))</f>
        <v/>
      </c>
    </row>
    <row r="136">
      <c r="A136" s="7" t="inlineStr">
        <is>
          <t>TX-10043</t>
        </is>
      </c>
      <c r="B136" s="7" t="inlineStr">
        <is>
          <t>5000</t>
        </is>
      </c>
      <c r="C136" s="6" t="inlineStr">
        <is>
          <t>Fast Lønn - Okt 2026 (Helse- og Idrettsvitenskap)</t>
        </is>
      </c>
      <c r="D136" s="34" t="n">
        <v>36567.09</v>
      </c>
      <c r="E136" s="7" t="inlineStr">
        <is>
          <t>EMP-106</t>
        </is>
      </c>
      <c r="F136" s="7" t="inlineStr">
        <is>
          <t>EMP-104</t>
        </is>
      </c>
      <c r="G136" s="66" t="n">
        <v>1</v>
      </c>
      <c r="H136" s="6" t="inlineStr">
        <is>
          <t>Fast Lønn - Okt 2026 (Helse- og Idrettsvitenskap)</t>
        </is>
      </c>
      <c r="I136" s="6">
        <f>IF(E136=F136, "BRUDD: Egengodkjenning", IF(G136=0, "MANGLER BILAG", "OK"))</f>
        <v/>
      </c>
    </row>
    <row r="137">
      <c r="A137" s="7" t="inlineStr">
        <is>
          <t>TX-10044</t>
        </is>
      </c>
      <c r="B137" s="7" t="inlineStr">
        <is>
          <t>7130</t>
        </is>
      </c>
      <c r="C137" s="6" t="inlineStr">
        <is>
          <t>Reiseregning fagsamling - Okt 2026 (Handelshøyskolen)</t>
        </is>
      </c>
      <c r="D137" s="34" t="n">
        <v>17351.11</v>
      </c>
      <c r="E137" s="7" t="inlineStr">
        <is>
          <t>EMP-104</t>
        </is>
      </c>
      <c r="F137" s="7" t="inlineStr">
        <is>
          <t>EMP-105</t>
        </is>
      </c>
      <c r="G137" s="66" t="n">
        <v>1</v>
      </c>
      <c r="H137" s="6" t="inlineStr">
        <is>
          <t>Reiseregning fagsamling - Okt 2026 (Handelshøyskolen)</t>
        </is>
      </c>
      <c r="I137" s="6">
        <f>IF(E137=F137, "BRUDD: Egengodkjenning", IF(G137=0, "MANGLER BILAG", "OK"))</f>
        <v/>
      </c>
    </row>
    <row r="138">
      <c r="A138" s="7" t="inlineStr">
        <is>
          <t>TX-10045</t>
        </is>
      </c>
      <c r="B138" s="7" t="inlineStr">
        <is>
          <t>3400</t>
        </is>
      </c>
      <c r="C138" s="6" t="inlineStr">
        <is>
          <t>Oppdragsinntekter BOA - Okt 2026 (Teknologi og Realfag)</t>
        </is>
      </c>
      <c r="D138" s="34" t="n">
        <v>-117210.1</v>
      </c>
      <c r="E138" s="7" t="inlineStr">
        <is>
          <t>EMP-107</t>
        </is>
      </c>
      <c r="F138" s="7" t="inlineStr">
        <is>
          <t>EMP-114</t>
        </is>
      </c>
      <c r="G138" s="66" t="n">
        <v>1</v>
      </c>
      <c r="H138" s="6" t="inlineStr">
        <is>
          <t>Oppdragsinntekter BOA - Okt 2026 (Teknologi og Realfag)</t>
        </is>
      </c>
      <c r="I138" s="6">
        <f>IF(E138=F138, "BRUDD: Egengodkjenning", IF(G138=0, "MANGLER BILAG", "OK"))</f>
        <v/>
      </c>
    </row>
    <row r="139">
      <c r="A139" s="7" t="inlineStr">
        <is>
          <t>TX-10046</t>
        </is>
      </c>
      <c r="B139" s="7" t="inlineStr">
        <is>
          <t>7130</t>
        </is>
      </c>
      <c r="C139" s="6" t="inlineStr">
        <is>
          <t>Reiseregning fagsamling - Okt 2026 (Handelshøyskolen)</t>
        </is>
      </c>
      <c r="D139" s="34" t="n">
        <v>18819.31</v>
      </c>
      <c r="E139" s="7" t="inlineStr">
        <is>
          <t>EMP-102</t>
        </is>
      </c>
      <c r="F139" s="7" t="inlineStr">
        <is>
          <t>EMP-114</t>
        </is>
      </c>
      <c r="G139" s="66" t="n">
        <v>1</v>
      </c>
      <c r="H139" s="6" t="inlineStr">
        <is>
          <t>Reiseregning fagsamling - Okt 2026 (Handelshøyskolen)</t>
        </is>
      </c>
      <c r="I139" s="6">
        <f>IF(E139=F139, "BRUDD: Egengodkjenning", IF(G139=0, "MANGLER BILAG", "OK"))</f>
        <v/>
      </c>
    </row>
    <row r="140">
      <c r="A140" s="7" t="inlineStr">
        <is>
          <t>TX-10047</t>
        </is>
      </c>
      <c r="B140" s="7" t="inlineStr">
        <is>
          <t>7100</t>
        </is>
      </c>
      <c r="C140" s="6" t="inlineStr">
        <is>
          <t>Bilgodtgjørelse feltarbeid - Okt 2026 (Handelshøyskolen)</t>
        </is>
      </c>
      <c r="D140" s="34" t="n">
        <v>21310.59</v>
      </c>
      <c r="E140" s="7" t="inlineStr">
        <is>
          <t>EMP-109</t>
        </is>
      </c>
      <c r="F140" s="7" t="inlineStr">
        <is>
          <t>EMP-101</t>
        </is>
      </c>
      <c r="G140" s="66" t="n">
        <v>1</v>
      </c>
      <c r="H140" s="6" t="inlineStr">
        <is>
          <t>Bilgodtgjørelse feltarbeid - Okt 2026 (Handelshøyskolen)</t>
        </is>
      </c>
      <c r="I140" s="6">
        <f>IF(E140=F140, "BRUDD: Egengodkjenning", IF(G140=0, "MANGLER BILAG", "OK"))</f>
        <v/>
      </c>
    </row>
    <row r="141">
      <c r="A141" s="7" t="inlineStr">
        <is>
          <t>TX-10048</t>
        </is>
      </c>
      <c r="B141" s="7" t="inlineStr">
        <is>
          <t>5000</t>
        </is>
      </c>
      <c r="C141" s="6" t="inlineStr">
        <is>
          <t>Fast Lønn - Okt 2026 (Teknologi og Realfag)</t>
        </is>
      </c>
      <c r="D141" s="34" t="n">
        <v>43760.74</v>
      </c>
      <c r="E141" s="7" t="inlineStr">
        <is>
          <t>EMP-107</t>
        </is>
      </c>
      <c r="F141" s="7" t="inlineStr">
        <is>
          <t>EMP-110</t>
        </is>
      </c>
      <c r="G141" s="66" t="n">
        <v>1</v>
      </c>
      <c r="H141" s="6" t="inlineStr">
        <is>
          <t>Fast Lønn - Okt 2026 (Teknologi og Realfag)</t>
        </is>
      </c>
      <c r="I141" s="6">
        <f>IF(E141=F141, "BRUDD: Egengodkjenning", IF(G141=0, "MANGLER BILAG", "OK"))</f>
        <v/>
      </c>
    </row>
    <row r="142">
      <c r="A142" s="7" t="inlineStr">
        <is>
          <t>TX-10049</t>
        </is>
      </c>
      <c r="B142" s="7" t="inlineStr">
        <is>
          <t>6800</t>
        </is>
      </c>
      <c r="C142" s="6" t="inlineStr">
        <is>
          <t>Kontorrekvisita - Okt 2026 (Handelshøyskolen)</t>
        </is>
      </c>
      <c r="D142" s="34" t="n">
        <v>5268.65</v>
      </c>
      <c r="E142" s="7" t="inlineStr">
        <is>
          <t>EMP-114</t>
        </is>
      </c>
      <c r="F142" s="7" t="inlineStr">
        <is>
          <t>EMP-118</t>
        </is>
      </c>
      <c r="G142" s="66" t="n">
        <v>1</v>
      </c>
      <c r="H142" s="6" t="inlineStr">
        <is>
          <t>Kontorrekvisita - Okt 2026 (Handelshøyskolen)</t>
        </is>
      </c>
      <c r="I142" s="6">
        <f>IF(E142=F142, "BRUDD: Egengodkjenning", IF(G142=0, "MANGLER BILAG", "OK"))</f>
        <v/>
      </c>
    </row>
    <row r="143">
      <c r="A143" s="7" t="inlineStr">
        <is>
          <t>TX-10050</t>
        </is>
      </c>
      <c r="B143" s="7" t="inlineStr">
        <is>
          <t>5000</t>
        </is>
      </c>
      <c r="C143" s="6" t="inlineStr">
        <is>
          <t>Fast Lønn - Okt 2026 (Helse- og Idrettsvitenskap)</t>
        </is>
      </c>
      <c r="D143" s="34" t="n">
        <v>38421.95</v>
      </c>
      <c r="E143" s="7" t="inlineStr">
        <is>
          <t>EMP-104</t>
        </is>
      </c>
      <c r="F143" s="7" t="inlineStr">
        <is>
          <t>EMP-115</t>
        </is>
      </c>
      <c r="G143" s="66" t="n">
        <v>1</v>
      </c>
      <c r="H143" s="6" t="inlineStr">
        <is>
          <t>Fast Lønn - Okt 2026 (Helse- og Idrettsvitenskap)</t>
        </is>
      </c>
      <c r="I143" s="6">
        <f>IF(E143=F143, "BRUDD: Egengodkjenning", IF(G143=0, "MANGLER BILAG", "OK"))</f>
        <v/>
      </c>
    </row>
    <row r="144">
      <c r="A144" s="7" t="inlineStr">
        <is>
          <t>TX-10051</t>
        </is>
      </c>
      <c r="B144" s="7" t="inlineStr">
        <is>
          <t>6800</t>
        </is>
      </c>
      <c r="C144" s="6" t="inlineStr">
        <is>
          <t>Kontorrekvisita - Okt 2026 (Handelshøyskolen)</t>
        </is>
      </c>
      <c r="D144" s="34" t="n">
        <v>6641.19</v>
      </c>
      <c r="E144" s="7" t="inlineStr">
        <is>
          <t>EMP-117</t>
        </is>
      </c>
      <c r="F144" s="7" t="inlineStr">
        <is>
          <t>EMP-106</t>
        </is>
      </c>
      <c r="G144" s="66" t="n">
        <v>1</v>
      </c>
      <c r="H144" s="6" t="inlineStr">
        <is>
          <t>Kontorrekvisita - Okt 2026 (Handelshøyskolen)</t>
        </is>
      </c>
      <c r="I144" s="6">
        <f>IF(E144=F144, "BRUDD: Egengodkjenning", IF(G144=0, "MANGLER BILAG", "OK"))</f>
        <v/>
      </c>
    </row>
    <row r="145">
      <c r="A145" s="7" t="inlineStr">
        <is>
          <t>TX-10052</t>
        </is>
      </c>
      <c r="B145" s="7" t="inlineStr">
        <is>
          <t>6800</t>
        </is>
      </c>
      <c r="C145" s="6" t="inlineStr">
        <is>
          <t>Kontorrekvisita - Okt 2026 (Fellesadministrasjon)</t>
        </is>
      </c>
      <c r="D145" s="34" t="n">
        <v>7646.5</v>
      </c>
      <c r="E145" s="7" t="inlineStr">
        <is>
          <t>EMP-117</t>
        </is>
      </c>
      <c r="F145" s="7" t="inlineStr">
        <is>
          <t>EMP-112</t>
        </is>
      </c>
      <c r="G145" s="66" t="n">
        <v>1</v>
      </c>
      <c r="H145" s="6" t="inlineStr">
        <is>
          <t>Kontorrekvisita - Okt 2026 (Fellesadministrasjon)</t>
        </is>
      </c>
      <c r="I145" s="6">
        <f>IF(E145=F145, "BRUDD: Egengodkjenning", IF(G145=0, "MANGLER BILAG", "OK"))</f>
        <v/>
      </c>
    </row>
    <row r="146">
      <c r="A146" s="7" t="inlineStr">
        <is>
          <t>TX-10053</t>
        </is>
      </c>
      <c r="B146" s="7" t="inlineStr">
        <is>
          <t>5330</t>
        </is>
      </c>
      <c r="C146" s="6" t="inlineStr">
        <is>
          <t>Sensorhonorarer - Okt 2026 (Teknologi og Realfag)</t>
        </is>
      </c>
      <c r="D146" s="34" t="n">
        <v>17735.73</v>
      </c>
      <c r="E146" s="7" t="inlineStr">
        <is>
          <t>EMP-102</t>
        </is>
      </c>
      <c r="F146" s="7" t="inlineStr">
        <is>
          <t>EMP-107</t>
        </is>
      </c>
      <c r="G146" s="66" t="n">
        <v>1</v>
      </c>
      <c r="H146" s="6" t="inlineStr">
        <is>
          <t>Sensorhonorarer - Okt 2026 (Teknologi og Realfag)</t>
        </is>
      </c>
      <c r="I146" s="6">
        <f>IF(E146=F146, "BRUDD: Egengodkjenning", IF(G146=0, "MANGLER BILAG", "OK"))</f>
        <v/>
      </c>
    </row>
    <row r="147">
      <c r="A147" s="7" t="inlineStr">
        <is>
          <t>TX-10054</t>
        </is>
      </c>
      <c r="B147" s="7" t="inlineStr">
        <is>
          <t>5000</t>
        </is>
      </c>
      <c r="C147" s="6" t="inlineStr">
        <is>
          <t>Fast Lønn - Okt 2026 (Fellesadministrasjon)</t>
        </is>
      </c>
      <c r="D147" s="34" t="n">
        <v>47388.55</v>
      </c>
      <c r="E147" s="7" t="inlineStr">
        <is>
          <t>EMP-108</t>
        </is>
      </c>
      <c r="F147" s="7" t="inlineStr">
        <is>
          <t>EMP-116</t>
        </is>
      </c>
      <c r="G147" s="66" t="n">
        <v>1</v>
      </c>
      <c r="H147" s="6" t="inlineStr">
        <is>
          <t>Fast Lønn - Okt 2026 (Fellesadministrasjon)</t>
        </is>
      </c>
      <c r="I147" s="6">
        <f>IF(E147=F147, "BRUDD: Egengodkjenning", IF(G147=0, "MANGLER BILAG", "OK"))</f>
        <v/>
      </c>
    </row>
    <row r="148">
      <c r="A148" s="7" t="inlineStr">
        <is>
          <t>TX-10055</t>
        </is>
      </c>
      <c r="B148" s="7" t="inlineStr">
        <is>
          <t>5000</t>
        </is>
      </c>
      <c r="C148" s="6" t="inlineStr">
        <is>
          <t>Fast Lønn - Okt 2026 (Helse- og Idrettsvitenskap)</t>
        </is>
      </c>
      <c r="D148" s="34" t="n">
        <v>39150.67</v>
      </c>
      <c r="E148" s="7" t="inlineStr">
        <is>
          <t>EMP-104</t>
        </is>
      </c>
      <c r="F148" s="7" t="inlineStr">
        <is>
          <t>EMP-113</t>
        </is>
      </c>
      <c r="G148" s="66" t="n">
        <v>1</v>
      </c>
      <c r="H148" s="6" t="inlineStr">
        <is>
          <t>Fast Lønn - Okt 2026 (Helse- og Idrettsvitenskap)</t>
        </is>
      </c>
      <c r="I148" s="6">
        <f>IF(E148=F148, "BRUDD: Egengodkjenning", IF(G148=0, "MANGLER BILAG", "OK"))</f>
        <v/>
      </c>
    </row>
    <row r="149">
      <c r="A149" s="7" t="inlineStr">
        <is>
          <t>TX-10056</t>
        </is>
      </c>
      <c r="B149" s="7" t="inlineStr">
        <is>
          <t>5330</t>
        </is>
      </c>
      <c r="C149" s="6" t="inlineStr">
        <is>
          <t>Sensorhonorarer - Okt 2026 (Fellesadministrasjon)</t>
        </is>
      </c>
      <c r="D149" s="34" t="n">
        <v>8056.14</v>
      </c>
      <c r="E149" s="7" t="inlineStr">
        <is>
          <t>EMP-107</t>
        </is>
      </c>
      <c r="F149" s="7" t="inlineStr">
        <is>
          <t>EMP-101</t>
        </is>
      </c>
      <c r="G149" s="66" t="n">
        <v>1</v>
      </c>
      <c r="H149" s="6" t="inlineStr">
        <is>
          <t>Sensorhonorarer - Okt 2026 (Fellesadministrasjon)</t>
        </is>
      </c>
      <c r="I149" s="6">
        <f>IF(E149=F149, "BRUDD: Egengodkjenning", IF(G149=0, "MANGLER BILAG", "OK"))</f>
        <v/>
      </c>
    </row>
    <row r="150">
      <c r="A150" s="7" t="inlineStr">
        <is>
          <t>TX-10057</t>
        </is>
      </c>
      <c r="B150" s="7" t="inlineStr">
        <is>
          <t>5330</t>
        </is>
      </c>
      <c r="C150" s="6" t="inlineStr">
        <is>
          <t>Sensorhonorarer - Okt 2026 (Handelshøyskolen)</t>
        </is>
      </c>
      <c r="D150" s="34" t="n">
        <v>14261.49</v>
      </c>
      <c r="E150" s="7" t="inlineStr">
        <is>
          <t>EMP-119</t>
        </is>
      </c>
      <c r="F150" s="7" t="inlineStr">
        <is>
          <t>EMP-105</t>
        </is>
      </c>
      <c r="G150" s="66" t="n">
        <v>1</v>
      </c>
      <c r="H150" s="6" t="inlineStr">
        <is>
          <t>Sensorhonorarer - Okt 2026 (Handelshøyskolen)</t>
        </is>
      </c>
      <c r="I150" s="6">
        <f>IF(E150=F150, "BRUDD: Egengodkjenning", IF(G150=0, "MANGLER BILAG", "OK"))</f>
        <v/>
      </c>
    </row>
    <row r="151">
      <c r="A151" s="7" t="inlineStr">
        <is>
          <t>TX-10058</t>
        </is>
      </c>
      <c r="B151" s="7" t="inlineStr">
        <is>
          <t>5000</t>
        </is>
      </c>
      <c r="C151" s="6" t="inlineStr">
        <is>
          <t>Fast Lønn - Okt 2026 (Fellesadministrasjon)</t>
        </is>
      </c>
      <c r="D151" s="34" t="n">
        <v>42887.32</v>
      </c>
      <c r="E151" s="7" t="inlineStr">
        <is>
          <t>EMP-115</t>
        </is>
      </c>
      <c r="F151" s="7" t="inlineStr">
        <is>
          <t>EMP-118</t>
        </is>
      </c>
      <c r="G151" s="66" t="n">
        <v>1</v>
      </c>
      <c r="H151" s="6" t="inlineStr">
        <is>
          <t>Fast Lønn - Okt 2026 (Fellesadministrasjon)</t>
        </is>
      </c>
      <c r="I151" s="6">
        <f>IF(E151=F151, "BRUDD: Egengodkjenning", IF(G151=0, "MANGLER BILAG", "OK"))</f>
        <v/>
      </c>
    </row>
    <row r="152">
      <c r="A152" s="7" t="inlineStr">
        <is>
          <t>TX-10059</t>
        </is>
      </c>
      <c r="B152" s="7" t="inlineStr">
        <is>
          <t>7100</t>
        </is>
      </c>
      <c r="C152" s="6" t="inlineStr">
        <is>
          <t>Bilgodtgjørelse feltarbeid - Okt 2026 (Handelshøyskolen)</t>
        </is>
      </c>
      <c r="D152" s="34" t="n">
        <v>16106.8</v>
      </c>
      <c r="E152" s="7" t="inlineStr">
        <is>
          <t>EMP-111</t>
        </is>
      </c>
      <c r="F152" s="7" t="inlineStr">
        <is>
          <t>EMP-112</t>
        </is>
      </c>
      <c r="G152" s="66" t="n">
        <v>1</v>
      </c>
      <c r="H152" s="6" t="inlineStr">
        <is>
          <t>Bilgodtgjørelse feltarbeid - Okt 2026 (Handelshøyskolen)</t>
        </is>
      </c>
      <c r="I152" s="6">
        <f>IF(E152=F152, "BRUDD: Egengodkjenning", IF(G152=0, "MANGLER BILAG", "OK"))</f>
        <v/>
      </c>
    </row>
    <row r="153">
      <c r="A153" s="7" t="inlineStr">
        <is>
          <t>TX-10060</t>
        </is>
      </c>
      <c r="B153" s="7" t="inlineStr">
        <is>
          <t>7130</t>
        </is>
      </c>
      <c r="C153" s="6" t="inlineStr">
        <is>
          <t>Reiseregning fagsamling - Okt 2026 (Helse- og Idrettsvitenskap)</t>
        </is>
      </c>
      <c r="D153" s="34" t="n">
        <v>12652.18</v>
      </c>
      <c r="E153" s="7" t="inlineStr">
        <is>
          <t>EMP-112</t>
        </is>
      </c>
      <c r="F153" s="7" t="inlineStr">
        <is>
          <t>EMP-103</t>
        </is>
      </c>
      <c r="G153" s="66" t="n">
        <v>1</v>
      </c>
      <c r="H153" s="6" t="inlineStr">
        <is>
          <t>Reiseregning fagsamling - Okt 2026 (Helse- og Idrettsvitenskap)</t>
        </is>
      </c>
      <c r="I153" s="6">
        <f>IF(E153=F153, "BRUDD: Egengodkjenning", IF(G153=0, "MANGLER BILAG", "OK"))</f>
        <v/>
      </c>
    </row>
    <row r="154">
      <c r="A154" s="7" t="inlineStr">
        <is>
          <t>TX-10061</t>
        </is>
      </c>
      <c r="B154" s="7" t="inlineStr">
        <is>
          <t>3400</t>
        </is>
      </c>
      <c r="C154" s="6" t="inlineStr">
        <is>
          <t>Oppdragsinntekter BOA - Okt 2026 (Helse- og Idrettsvitenskap)</t>
        </is>
      </c>
      <c r="D154" s="34" t="n">
        <v>-40719.11</v>
      </c>
      <c r="E154" s="7" t="inlineStr">
        <is>
          <t>EMP-106</t>
        </is>
      </c>
      <c r="F154" s="7" t="inlineStr">
        <is>
          <t>EMP-119</t>
        </is>
      </c>
      <c r="G154" s="66" t="n">
        <v>1</v>
      </c>
      <c r="H154" s="6" t="inlineStr">
        <is>
          <t>Oppdragsinntekter BOA - Okt 2026 (Helse- og Idrettsvitenskap)</t>
        </is>
      </c>
      <c r="I154" s="6">
        <f>IF(E154=F154, "BRUDD: Egengodkjenning", IF(G154=0, "MANGLER BILAG", "OK"))</f>
        <v/>
      </c>
    </row>
    <row r="155">
      <c r="A155" s="7" t="inlineStr">
        <is>
          <t>TX-10062</t>
        </is>
      </c>
      <c r="B155" s="7" t="inlineStr">
        <is>
          <t>5330</t>
        </is>
      </c>
      <c r="C155" s="6" t="inlineStr">
        <is>
          <t>Sensorhonorarer - Okt 2026 (Helse- og Idrettsvitenskap)</t>
        </is>
      </c>
      <c r="D155" s="34" t="n">
        <v>16565.59</v>
      </c>
      <c r="E155" s="7" t="inlineStr">
        <is>
          <t>EMP-101</t>
        </is>
      </c>
      <c r="F155" s="7" t="inlineStr">
        <is>
          <t>EMP-107</t>
        </is>
      </c>
      <c r="G155" s="66" t="n">
        <v>1</v>
      </c>
      <c r="H155" s="6" t="inlineStr">
        <is>
          <t>Sensorhonorarer - Okt 2026 (Helse- og Idrettsvitenskap)</t>
        </is>
      </c>
      <c r="I155" s="6">
        <f>IF(E155=F155, "BRUDD: Egengodkjenning", IF(G155=0, "MANGLER BILAG", "OK"))</f>
        <v/>
      </c>
    </row>
    <row r="156">
      <c r="A156" s="7" t="inlineStr">
        <is>
          <t>TX-10063</t>
        </is>
      </c>
      <c r="B156" s="7" t="inlineStr">
        <is>
          <t>7100</t>
        </is>
      </c>
      <c r="C156" s="6" t="inlineStr">
        <is>
          <t>Bilgodtgjørelse feltarbeid - Okt 2026 (Teknologi og Realfag)</t>
        </is>
      </c>
      <c r="D156" s="34" t="n">
        <v>3382.01</v>
      </c>
      <c r="E156" s="7" t="inlineStr">
        <is>
          <t>EMP-115</t>
        </is>
      </c>
      <c r="F156" s="7" t="inlineStr">
        <is>
          <t>EMP-114</t>
        </is>
      </c>
      <c r="G156" s="66" t="n">
        <v>1</v>
      </c>
      <c r="H156" s="6" t="inlineStr">
        <is>
          <t>Bilgodtgjørelse feltarbeid - Okt 2026 (Teknologi og Realfag)</t>
        </is>
      </c>
      <c r="I156" s="6">
        <f>IF(E156=F156, "BRUDD: Egengodkjenning", IF(G156=0, "MANGLER BILAG", "OK"))</f>
        <v/>
      </c>
    </row>
    <row r="157">
      <c r="A157" s="7" t="inlineStr">
        <is>
          <t>TX-10064</t>
        </is>
      </c>
      <c r="B157" s="7" t="inlineStr">
        <is>
          <t>5000</t>
        </is>
      </c>
      <c r="C157" s="6" t="inlineStr">
        <is>
          <t>Fast Lønn - Okt 2026 (Handelshøyskolen)</t>
        </is>
      </c>
      <c r="D157" s="34" t="n">
        <v>49113.87</v>
      </c>
      <c r="E157" s="7" t="inlineStr">
        <is>
          <t>EMP-112</t>
        </is>
      </c>
      <c r="F157" s="7" t="inlineStr">
        <is>
          <t>EMP-118</t>
        </is>
      </c>
      <c r="G157" s="66" t="n">
        <v>1</v>
      </c>
      <c r="H157" s="6" t="inlineStr">
        <is>
          <t>Fast Lønn - Okt 2026 (Handelshøyskolen)</t>
        </is>
      </c>
      <c r="I157" s="6">
        <f>IF(E157=F157, "BRUDD: Egengodkjenning", IF(G157=0, "MANGLER BILAG", "OK"))</f>
        <v/>
      </c>
    </row>
    <row r="158">
      <c r="A158" s="67" t="inlineStr">
        <is>
          <t>TX-10065</t>
        </is>
      </c>
      <c r="B158" s="67" t="inlineStr">
        <is>
          <t>5000</t>
        </is>
      </c>
      <c r="C158" s="19" t="inlineStr">
        <is>
          <t>Fast Lønn - Okt 2026 (Handelshøyskolen)</t>
        </is>
      </c>
      <c r="D158" s="72" t="n">
        <v>63375.29</v>
      </c>
      <c r="E158" s="67" t="inlineStr">
        <is>
          <t>EMP-111</t>
        </is>
      </c>
      <c r="F158" s="67" t="inlineStr">
        <is>
          <t>EMP-111</t>
        </is>
      </c>
      <c r="G158" s="69" t="n">
        <v>1</v>
      </c>
      <c r="H158" s="19" t="inlineStr">
        <is>
          <t>Fast Lønn - Okt 2026 (Handelshøyskolen)</t>
        </is>
      </c>
      <c r="I158" s="18">
        <f>IF(E158=F158, "BRUDD: Egengodkjenning", IF(G158=0, "MANGLER BILAG", "OK"))</f>
        <v/>
      </c>
    </row>
    <row r="159">
      <c r="A159" s="7" t="inlineStr">
        <is>
          <t>TX-10066</t>
        </is>
      </c>
      <c r="B159" s="7" t="inlineStr">
        <is>
          <t>7150</t>
        </is>
      </c>
      <c r="C159" s="6" t="inlineStr">
        <is>
          <t>Utenlandsreise fagkonferanse - Okt 2026 (Teknologi og Realfag)</t>
        </is>
      </c>
      <c r="D159" s="34" t="n">
        <v>863.4400000000001</v>
      </c>
      <c r="E159" s="7" t="inlineStr">
        <is>
          <t>EMP-112</t>
        </is>
      </c>
      <c r="F159" s="7" t="inlineStr">
        <is>
          <t>EMP-114</t>
        </is>
      </c>
      <c r="G159" s="66" t="n">
        <v>1</v>
      </c>
      <c r="H159" s="6" t="inlineStr">
        <is>
          <t>Utenlandsreise fagkonferanse - Okt 2026 (Teknologi og Realfag)</t>
        </is>
      </c>
      <c r="I159" s="6">
        <f>IF(E159=F159, "BRUDD: Egengodkjenning", IF(G159=0, "MANGLER BILAG", "OK"))</f>
        <v/>
      </c>
    </row>
    <row r="160">
      <c r="A160" s="7" t="inlineStr">
        <is>
          <t>TX-10067</t>
        </is>
      </c>
      <c r="B160" s="7" t="inlineStr">
        <is>
          <t>6800</t>
        </is>
      </c>
      <c r="C160" s="6" t="inlineStr">
        <is>
          <t>Kontorrekvisita - Okt 2026 (Fellesadministrasjon)</t>
        </is>
      </c>
      <c r="D160" s="34" t="n">
        <v>19375.19</v>
      </c>
      <c r="E160" s="7" t="inlineStr">
        <is>
          <t>EMP-112</t>
        </is>
      </c>
      <c r="F160" s="7" t="inlineStr">
        <is>
          <t>EMP-102</t>
        </is>
      </c>
      <c r="G160" s="66" t="n">
        <v>1</v>
      </c>
      <c r="H160" s="6" t="inlineStr">
        <is>
          <t>Kontorrekvisita - Okt 2026 (Fellesadministrasjon)</t>
        </is>
      </c>
      <c r="I160" s="6">
        <f>IF(E160=F160, "BRUDD: Egengodkjenning", IF(G160=0, "MANGLER BILAG", "OK"))</f>
        <v/>
      </c>
    </row>
    <row r="161">
      <c r="A161" s="67" t="inlineStr">
        <is>
          <t>TX-10068</t>
        </is>
      </c>
      <c r="B161" s="67" t="inlineStr">
        <is>
          <t>7150</t>
        </is>
      </c>
      <c r="C161" s="19" t="inlineStr">
        <is>
          <t>Utenlandsreise fagkonferanse - Okt 2026 (Handelshøyskolen)</t>
        </is>
      </c>
      <c r="D161" s="72" t="n">
        <v>9175.549999999999</v>
      </c>
      <c r="E161" s="67" t="inlineStr">
        <is>
          <t>EMP-116</t>
        </is>
      </c>
      <c r="F161" s="67" t="inlineStr">
        <is>
          <t>EMP-116</t>
        </is>
      </c>
      <c r="G161" s="69" t="n">
        <v>1</v>
      </c>
      <c r="H161" s="19" t="inlineStr">
        <is>
          <t>Utenlandsreise fagkonferanse - Okt 2026 (Handelshøyskolen)</t>
        </is>
      </c>
      <c r="I161" s="18">
        <f>IF(E161=F161, "BRUDD: Egengodkjenning", IF(G161=0, "MANGLER BILAG", "OK"))</f>
        <v/>
      </c>
    </row>
    <row r="162">
      <c r="A162" s="7" t="inlineStr">
        <is>
          <t>TX-10069</t>
        </is>
      </c>
      <c r="B162" s="7" t="inlineStr">
        <is>
          <t>7100</t>
        </is>
      </c>
      <c r="C162" s="6" t="inlineStr">
        <is>
          <t>Bilgodtgjørelse feltarbeid - Okt 2026 (Handelshøyskolen)</t>
        </is>
      </c>
      <c r="D162" s="34" t="n">
        <v>1623.32</v>
      </c>
      <c r="E162" s="7" t="inlineStr">
        <is>
          <t>EMP-102</t>
        </is>
      </c>
      <c r="F162" s="7" t="inlineStr">
        <is>
          <t>EMP-113</t>
        </is>
      </c>
      <c r="G162" s="66" t="n">
        <v>1</v>
      </c>
      <c r="H162" s="6" t="inlineStr">
        <is>
          <t>Bilgodtgjørelse feltarbeid - Okt 2026 (Handelshøyskolen)</t>
        </is>
      </c>
      <c r="I162" s="6">
        <f>IF(E162=F162, "BRUDD: Egengodkjenning", IF(G162=0, "MANGLER BILAG", "OK"))</f>
        <v/>
      </c>
    </row>
    <row r="163">
      <c r="A163" s="7" t="inlineStr">
        <is>
          <t>TX-10070</t>
        </is>
      </c>
      <c r="B163" s="7" t="inlineStr">
        <is>
          <t>7130</t>
        </is>
      </c>
      <c r="C163" s="6" t="inlineStr">
        <is>
          <t>Reiseregning fagsamling - Okt 2026 (Teknologi og Realfag)</t>
        </is>
      </c>
      <c r="D163" s="34" t="n">
        <v>24627.14</v>
      </c>
      <c r="E163" s="7" t="inlineStr">
        <is>
          <t>EMP-110</t>
        </is>
      </c>
      <c r="F163" s="7" t="inlineStr">
        <is>
          <t>EMP-115</t>
        </is>
      </c>
      <c r="G163" s="66" t="n">
        <v>1</v>
      </c>
      <c r="H163" s="6" t="inlineStr">
        <is>
          <t>Reiseregning fagsamling - Okt 2026 (Teknologi og Realfag)</t>
        </is>
      </c>
      <c r="I163" s="6">
        <f>IF(E163=F163, "BRUDD: Egengodkjenning", IF(G163=0, "MANGLER BILAG", "OK"))</f>
        <v/>
      </c>
    </row>
    <row r="164">
      <c r="A164" s="7" t="inlineStr">
        <is>
          <t>TX-10071</t>
        </is>
      </c>
      <c r="B164" s="7" t="inlineStr">
        <is>
          <t>5330</t>
        </is>
      </c>
      <c r="C164" s="6" t="inlineStr">
        <is>
          <t>Sensorhonorarer - Okt 2026 (Fellesadministrasjon)</t>
        </is>
      </c>
      <c r="D164" s="34" t="n">
        <v>13117.51</v>
      </c>
      <c r="E164" s="7" t="inlineStr">
        <is>
          <t>EMP-110</t>
        </is>
      </c>
      <c r="F164" s="7" t="inlineStr">
        <is>
          <t>EMP-104</t>
        </is>
      </c>
      <c r="G164" s="66" t="n">
        <v>1</v>
      </c>
      <c r="H164" s="6" t="inlineStr">
        <is>
          <t>Sensorhonorarer - Okt 2026 (Fellesadministrasjon)</t>
        </is>
      </c>
      <c r="I164" s="6">
        <f>IF(E164=F164, "BRUDD: Egengodkjenning", IF(G164=0, "MANGLER BILAG", "OK"))</f>
        <v/>
      </c>
    </row>
    <row r="165">
      <c r="A165" s="7" t="inlineStr">
        <is>
          <t>TX-10072</t>
        </is>
      </c>
      <c r="B165" s="7" t="inlineStr">
        <is>
          <t>5330</t>
        </is>
      </c>
      <c r="C165" s="6" t="inlineStr">
        <is>
          <t>Sensorhonorarer - Okt 2026 (Handelshøyskolen)</t>
        </is>
      </c>
      <c r="D165" s="34" t="n">
        <v>13610.2</v>
      </c>
      <c r="E165" s="7" t="inlineStr">
        <is>
          <t>EMP-114</t>
        </is>
      </c>
      <c r="F165" s="7" t="inlineStr">
        <is>
          <t>EMP-116</t>
        </is>
      </c>
      <c r="G165" s="66" t="n">
        <v>1</v>
      </c>
      <c r="H165" s="6" t="inlineStr">
        <is>
          <t>Sensorhonorarer - Okt 2026 (Handelshøyskolen)</t>
        </is>
      </c>
      <c r="I165" s="6">
        <f>IF(E165=F165, "BRUDD: Egengodkjenning", IF(G165=0, "MANGLER BILAG", "OK"))</f>
        <v/>
      </c>
    </row>
    <row r="166">
      <c r="A166" s="7" t="inlineStr">
        <is>
          <t>TX-10073</t>
        </is>
      </c>
      <c r="B166" s="7" t="inlineStr">
        <is>
          <t>5330</t>
        </is>
      </c>
      <c r="C166" s="6" t="inlineStr">
        <is>
          <t>Sensorhonorarer - Okt 2026 (Handelshøyskolen)</t>
        </is>
      </c>
      <c r="D166" s="34" t="n">
        <v>14931.64</v>
      </c>
      <c r="E166" s="7" t="inlineStr">
        <is>
          <t>EMP-109</t>
        </is>
      </c>
      <c r="F166" s="7" t="inlineStr">
        <is>
          <t>EMP-101</t>
        </is>
      </c>
      <c r="G166" s="66" t="n">
        <v>1</v>
      </c>
      <c r="H166" s="6" t="inlineStr">
        <is>
          <t>Sensorhonorarer - Okt 2026 (Handelshøyskolen)</t>
        </is>
      </c>
      <c r="I166" s="6">
        <f>IF(E166=F166, "BRUDD: Egengodkjenning", IF(G166=0, "MANGLER BILAG", "OK"))</f>
        <v/>
      </c>
    </row>
    <row r="167">
      <c r="A167" s="7" t="inlineStr">
        <is>
          <t>TX-10074</t>
        </is>
      </c>
      <c r="B167" s="7" t="inlineStr">
        <is>
          <t>6800</t>
        </is>
      </c>
      <c r="C167" s="6" t="inlineStr">
        <is>
          <t>Kontorrekvisita - Okt 2026 (Fellesadministrasjon)</t>
        </is>
      </c>
      <c r="D167" s="34" t="n">
        <v>2572.9</v>
      </c>
      <c r="E167" s="7" t="inlineStr">
        <is>
          <t>EMP-111</t>
        </is>
      </c>
      <c r="F167" s="7" t="inlineStr">
        <is>
          <t>EMP-118</t>
        </is>
      </c>
      <c r="G167" s="66" t="n">
        <v>1</v>
      </c>
      <c r="H167" s="6" t="inlineStr">
        <is>
          <t>Kontorrekvisita - Okt 2026 (Fellesadministrasjon)</t>
        </is>
      </c>
      <c r="I167" s="6">
        <f>IF(E167=F167, "BRUDD: Egengodkjenning", IF(G167=0, "MANGLER BILAG", "OK"))</f>
        <v/>
      </c>
    </row>
    <row r="168">
      <c r="A168" s="7" t="inlineStr">
        <is>
          <t>TX-10075</t>
        </is>
      </c>
      <c r="B168" s="7" t="inlineStr">
        <is>
          <t>5330</t>
        </is>
      </c>
      <c r="C168" s="6" t="inlineStr">
        <is>
          <t>Sensorhonorarer - Okt 2026 (Teknologi og Realfag)</t>
        </is>
      </c>
      <c r="D168" s="34" t="n">
        <v>14895.38</v>
      </c>
      <c r="E168" s="7" t="inlineStr">
        <is>
          <t>EMP-106</t>
        </is>
      </c>
      <c r="F168" s="7" t="inlineStr">
        <is>
          <t>EMP-119</t>
        </is>
      </c>
      <c r="G168" s="66" t="n">
        <v>1</v>
      </c>
      <c r="H168" s="6" t="inlineStr">
        <is>
          <t>Sensorhonorarer - Okt 2026 (Teknologi og Realfag)</t>
        </is>
      </c>
      <c r="I168" s="6">
        <f>IF(E168=F168, "BRUDD: Egengodkjenning", IF(G168=0, "MANGLER BILAG", "OK"))</f>
        <v/>
      </c>
    </row>
    <row r="169">
      <c r="A169" s="7" t="inlineStr">
        <is>
          <t>TX-10076</t>
        </is>
      </c>
      <c r="B169" s="7" t="inlineStr">
        <is>
          <t>5000</t>
        </is>
      </c>
      <c r="C169" s="6" t="inlineStr">
        <is>
          <t>Fast Lønn - Okt 2026 (Fellesadministrasjon)</t>
        </is>
      </c>
      <c r="D169" s="34" t="n">
        <v>51068.34</v>
      </c>
      <c r="E169" s="7" t="inlineStr">
        <is>
          <t>EMP-118</t>
        </is>
      </c>
      <c r="F169" s="7" t="inlineStr">
        <is>
          <t>EMP-104</t>
        </is>
      </c>
      <c r="G169" s="66" t="n">
        <v>1</v>
      </c>
      <c r="H169" s="6" t="inlineStr">
        <is>
          <t>Fast Lønn - Okt 2026 (Fellesadministrasjon)</t>
        </is>
      </c>
      <c r="I169" s="6">
        <f>IF(E169=F169, "BRUDD: Egengodkjenning", IF(G169=0, "MANGLER BILAG", "OK"))</f>
        <v/>
      </c>
    </row>
    <row r="170">
      <c r="A170" s="7" t="inlineStr">
        <is>
          <t>TX-10077</t>
        </is>
      </c>
      <c r="B170" s="7" t="inlineStr">
        <is>
          <t>7100</t>
        </is>
      </c>
      <c r="C170" s="6" t="inlineStr">
        <is>
          <t>Bilgodtgjørelse feltarbeid - Okt 2026 (Teknologi og Realfag)</t>
        </is>
      </c>
      <c r="D170" s="34" t="n">
        <v>13397.15</v>
      </c>
      <c r="E170" s="7" t="inlineStr">
        <is>
          <t>EMP-109</t>
        </is>
      </c>
      <c r="F170" s="7" t="inlineStr">
        <is>
          <t>EMP-114</t>
        </is>
      </c>
      <c r="G170" s="66" t="n">
        <v>0</v>
      </c>
      <c r="H170" s="6" t="inlineStr">
        <is>
          <t>Bilgodtgjørelse feltarbeid - Okt 2026 (Teknologi og Realfag)</t>
        </is>
      </c>
      <c r="I170" s="6">
        <f>IF(E170=F170, "BRUDD: Egengodkjenning", IF(G170=0, "MANGLER BILAG", "OK"))</f>
        <v/>
      </c>
    </row>
    <row r="171">
      <c r="A171" s="7" t="inlineStr">
        <is>
          <t>TX-10078</t>
        </is>
      </c>
      <c r="B171" s="7" t="inlineStr">
        <is>
          <t>5330</t>
        </is>
      </c>
      <c r="C171" s="6" t="inlineStr">
        <is>
          <t>Sensorhonorarer - Okt 2026 (Teknologi og Realfag)</t>
        </is>
      </c>
      <c r="D171" s="34" t="n">
        <v>19838.92</v>
      </c>
      <c r="E171" s="7" t="inlineStr">
        <is>
          <t>EMP-104</t>
        </is>
      </c>
      <c r="F171" s="7" t="inlineStr">
        <is>
          <t>EMP-114</t>
        </is>
      </c>
      <c r="G171" s="66" t="n">
        <v>1</v>
      </c>
      <c r="H171" s="6" t="inlineStr">
        <is>
          <t>Sensorhonorarer - Okt 2026 (Teknologi og Realfag)</t>
        </is>
      </c>
      <c r="I171" s="6">
        <f>IF(E171=F171, "BRUDD: Egengodkjenning", IF(G171=0, "MANGLER BILAG", "OK"))</f>
        <v/>
      </c>
    </row>
    <row r="172">
      <c r="A172" s="7" t="inlineStr">
        <is>
          <t>TX-10079</t>
        </is>
      </c>
      <c r="B172" s="7" t="inlineStr">
        <is>
          <t>3400</t>
        </is>
      </c>
      <c r="C172" s="6" t="inlineStr">
        <is>
          <t>Oppdragsinntekter BOA - Okt 2026 (Teknologi og Realfag)</t>
        </is>
      </c>
      <c r="D172" s="34" t="n">
        <v>-34203.76</v>
      </c>
      <c r="E172" s="7" t="inlineStr">
        <is>
          <t>EMP-116</t>
        </is>
      </c>
      <c r="F172" s="7" t="inlineStr">
        <is>
          <t>EMP-106</t>
        </is>
      </c>
      <c r="G172" s="66" t="n">
        <v>0</v>
      </c>
      <c r="H172" s="6" t="inlineStr">
        <is>
          <t>Oppdragsinntekter BOA - Okt 2026 (Teknologi og Realfag)</t>
        </is>
      </c>
      <c r="I172" s="6">
        <f>IF(E172=F172, "BRUDD: Egengodkjenning", IF(G172=0, "MANGLER BILAG", "OK"))</f>
        <v/>
      </c>
    </row>
    <row r="173">
      <c r="A173" s="7" t="inlineStr">
        <is>
          <t>TX-10080</t>
        </is>
      </c>
      <c r="B173" s="7" t="inlineStr">
        <is>
          <t>5330</t>
        </is>
      </c>
      <c r="C173" s="6" t="inlineStr">
        <is>
          <t>Sensorhonorarer - Okt 2026 (Helse- og Idrettsvitenskap)</t>
        </is>
      </c>
      <c r="D173" s="34" t="n">
        <v>7584.85</v>
      </c>
      <c r="E173" s="7" t="inlineStr">
        <is>
          <t>EMP-118</t>
        </is>
      </c>
      <c r="F173" s="7" t="inlineStr">
        <is>
          <t>EMP-108</t>
        </is>
      </c>
      <c r="G173" s="66" t="n">
        <v>1</v>
      </c>
      <c r="H173" s="6" t="inlineStr">
        <is>
          <t>Sensorhonorarer - Okt 2026 (Helse- og Idrettsvitenskap)</t>
        </is>
      </c>
      <c r="I173" s="6">
        <f>IF(E173=F173, "BRUDD: Egengodkjenning", IF(G173=0, "MANGLER BILAG", "OK"))</f>
        <v/>
      </c>
    </row>
    <row r="174">
      <c r="A174" s="7" t="inlineStr">
        <is>
          <t>TX-10081</t>
        </is>
      </c>
      <c r="B174" s="7" t="inlineStr">
        <is>
          <t>7100</t>
        </is>
      </c>
      <c r="C174" s="6" t="inlineStr">
        <is>
          <t>Bilgodtgjørelse feltarbeid - Okt 2026 (Fellesadministrasjon)</t>
        </is>
      </c>
      <c r="D174" s="34" t="n">
        <v>16731.97</v>
      </c>
      <c r="E174" s="7" t="inlineStr">
        <is>
          <t>EMP-117</t>
        </is>
      </c>
      <c r="F174" s="7" t="inlineStr">
        <is>
          <t>EMP-116</t>
        </is>
      </c>
      <c r="G174" s="66" t="n">
        <v>0</v>
      </c>
      <c r="H174" s="6" t="inlineStr">
        <is>
          <t>Bilgodtgjørelse feltarbeid - Okt 2026 (Fellesadministrasjon)</t>
        </is>
      </c>
      <c r="I174" s="6">
        <f>IF(E174=F174, "BRUDD: Egengodkjenning", IF(G174=0, "MANGLER BILAG", "OK"))</f>
        <v/>
      </c>
    </row>
    <row r="175">
      <c r="A175" s="7" t="inlineStr">
        <is>
          <t>TX-10082</t>
        </is>
      </c>
      <c r="B175" s="7" t="inlineStr">
        <is>
          <t>3400</t>
        </is>
      </c>
      <c r="C175" s="6" t="inlineStr">
        <is>
          <t>Oppdragsinntekter BOA - Okt 2026 (Fellesadministrasjon)</t>
        </is>
      </c>
      <c r="D175" s="34" t="n">
        <v>-73755.36</v>
      </c>
      <c r="E175" s="7" t="inlineStr">
        <is>
          <t>EMP-119</t>
        </is>
      </c>
      <c r="F175" s="7" t="inlineStr">
        <is>
          <t>EMP-118</t>
        </is>
      </c>
      <c r="G175" s="66" t="n">
        <v>1</v>
      </c>
      <c r="H175" s="6" t="inlineStr">
        <is>
          <t>Oppdragsinntekter BOA - Okt 2026 (Fellesadministrasjon)</t>
        </is>
      </c>
      <c r="I175" s="6">
        <f>IF(E175=F175, "BRUDD: Egengodkjenning", IF(G175=0, "MANGLER BILAG", "OK"))</f>
        <v/>
      </c>
    </row>
    <row r="176">
      <c r="A176" s="7" t="inlineStr">
        <is>
          <t>TX-10083</t>
        </is>
      </c>
      <c r="B176" s="7" t="inlineStr">
        <is>
          <t>6800</t>
        </is>
      </c>
      <c r="C176" s="6" t="inlineStr">
        <is>
          <t>Kontorrekvisita - Okt 2026 (Handelshøyskolen)</t>
        </is>
      </c>
      <c r="D176" s="34" t="n">
        <v>18787.83</v>
      </c>
      <c r="E176" s="7" t="inlineStr">
        <is>
          <t>EMP-105</t>
        </is>
      </c>
      <c r="F176" s="7" t="inlineStr">
        <is>
          <t>EMP-117</t>
        </is>
      </c>
      <c r="G176" s="66" t="n">
        <v>1</v>
      </c>
      <c r="H176" s="6" t="inlineStr">
        <is>
          <t>Kontorrekvisita - Okt 2026 (Handelshøyskolen)</t>
        </is>
      </c>
      <c r="I176" s="6">
        <f>IF(E176=F176, "BRUDD: Egengodkjenning", IF(G176=0, "MANGLER BILAG", "OK"))</f>
        <v/>
      </c>
    </row>
    <row r="177">
      <c r="A177" s="7" t="inlineStr">
        <is>
          <t>TX-10084</t>
        </is>
      </c>
      <c r="B177" s="7" t="inlineStr">
        <is>
          <t>6800</t>
        </is>
      </c>
      <c r="C177" s="6" t="inlineStr">
        <is>
          <t>Kontorrekvisita - Okt 2026 (Fellesadministrasjon)</t>
        </is>
      </c>
      <c r="D177" s="34" t="n">
        <v>21701.93</v>
      </c>
      <c r="E177" s="7" t="inlineStr">
        <is>
          <t>EMP-112</t>
        </is>
      </c>
      <c r="F177" s="7" t="inlineStr">
        <is>
          <t>EMP-115</t>
        </is>
      </c>
      <c r="G177" s="66" t="n">
        <v>1</v>
      </c>
      <c r="H177" s="6" t="inlineStr">
        <is>
          <t>Kontorrekvisita - Okt 2026 (Fellesadministrasjon)</t>
        </is>
      </c>
      <c r="I177" s="6">
        <f>IF(E177=F177, "BRUDD: Egengodkjenning", IF(G177=0, "MANGLER BILAG", "OK"))</f>
        <v/>
      </c>
    </row>
    <row r="178">
      <c r="A178" s="7" t="inlineStr">
        <is>
          <t>TX-10085</t>
        </is>
      </c>
      <c r="B178" s="7" t="inlineStr">
        <is>
          <t>5000</t>
        </is>
      </c>
      <c r="C178" s="6" t="inlineStr">
        <is>
          <t>Fast Lønn - Okt 2026 (Teknologi og Realfag)</t>
        </is>
      </c>
      <c r="D178" s="34" t="n">
        <v>52126.34</v>
      </c>
      <c r="E178" s="7" t="inlineStr">
        <is>
          <t>EMP-119</t>
        </is>
      </c>
      <c r="F178" s="7" t="inlineStr">
        <is>
          <t>EMP-106</t>
        </is>
      </c>
      <c r="G178" s="66" t="n">
        <v>1</v>
      </c>
      <c r="H178" s="6" t="inlineStr">
        <is>
          <t>Fast Lønn - Okt 2026 (Teknologi og Realfag)</t>
        </is>
      </c>
      <c r="I178" s="6">
        <f>IF(E178=F178, "BRUDD: Egengodkjenning", IF(G178=0, "MANGLER BILAG", "OK"))</f>
        <v/>
      </c>
    </row>
    <row r="179">
      <c r="A179" s="7" t="inlineStr">
        <is>
          <t>TX-10086</t>
        </is>
      </c>
      <c r="B179" s="7" t="inlineStr">
        <is>
          <t>7150</t>
        </is>
      </c>
      <c r="C179" s="6" t="inlineStr">
        <is>
          <t>Utenlandsreise fagkonferanse - Okt 2026 (Helse- og Idrettsvitenskap)</t>
        </is>
      </c>
      <c r="D179" s="34" t="n">
        <v>9340.01</v>
      </c>
      <c r="E179" s="7" t="inlineStr">
        <is>
          <t>EMP-103</t>
        </is>
      </c>
      <c r="F179" s="7" t="inlineStr">
        <is>
          <t>EMP-116</t>
        </is>
      </c>
      <c r="G179" s="66" t="n">
        <v>1</v>
      </c>
      <c r="H179" s="6" t="inlineStr">
        <is>
          <t>Utenlandsreise fagkonferanse - Okt 2026 (Helse- og Idrettsvitenskap)</t>
        </is>
      </c>
      <c r="I179" s="6">
        <f>IF(E179=F179, "BRUDD: Egengodkjenning", IF(G179=0, "MANGLER BILAG", "OK"))</f>
        <v/>
      </c>
    </row>
    <row r="180">
      <c r="A180" s="7" t="inlineStr">
        <is>
          <t>TX-10087</t>
        </is>
      </c>
      <c r="B180" s="7" t="inlineStr">
        <is>
          <t>7130</t>
        </is>
      </c>
      <c r="C180" s="6" t="inlineStr">
        <is>
          <t>Reiseregning fagsamling - Okt 2026 (Handelshøyskolen)</t>
        </is>
      </c>
      <c r="D180" s="34" t="n">
        <v>21536.34</v>
      </c>
      <c r="E180" s="7" t="inlineStr">
        <is>
          <t>EMP-114</t>
        </is>
      </c>
      <c r="F180" s="7" t="inlineStr">
        <is>
          <t>EMP-116</t>
        </is>
      </c>
      <c r="G180" s="66" t="n">
        <v>1</v>
      </c>
      <c r="H180" s="6" t="inlineStr">
        <is>
          <t>Reiseregning fagsamling - Okt 2026 (Handelshøyskolen)</t>
        </is>
      </c>
      <c r="I180" s="6">
        <f>IF(E180=F180, "BRUDD: Egengodkjenning", IF(G180=0, "MANGLER BILAG", "OK"))</f>
        <v/>
      </c>
    </row>
    <row r="181">
      <c r="A181" s="7" t="inlineStr">
        <is>
          <t>TX-10088</t>
        </is>
      </c>
      <c r="B181" s="7" t="inlineStr">
        <is>
          <t>5000</t>
        </is>
      </c>
      <c r="C181" s="6" t="inlineStr">
        <is>
          <t>Fast Lønn - Okt 2026 (Helse- og Idrettsvitenskap)</t>
        </is>
      </c>
      <c r="D181" s="34" t="n">
        <v>41365.01</v>
      </c>
      <c r="E181" s="7" t="inlineStr">
        <is>
          <t>EMP-113</t>
        </is>
      </c>
      <c r="F181" s="7" t="inlineStr">
        <is>
          <t>EMP-116</t>
        </is>
      </c>
      <c r="G181" s="66" t="n">
        <v>1</v>
      </c>
      <c r="H181" s="6" t="inlineStr">
        <is>
          <t>Fast Lønn - Okt 2026 (Helse- og Idrettsvitenskap)</t>
        </is>
      </c>
      <c r="I181" s="6">
        <f>IF(E181=F181, "BRUDD: Egengodkjenning", IF(G181=0, "MANGLER BILAG", "OK"))</f>
        <v/>
      </c>
    </row>
    <row r="182">
      <c r="A182" s="7" t="inlineStr">
        <is>
          <t>TX-10089</t>
        </is>
      </c>
      <c r="B182" s="7" t="inlineStr">
        <is>
          <t>5330</t>
        </is>
      </c>
      <c r="C182" s="6" t="inlineStr">
        <is>
          <t>Sensorhonorarer - Okt 2026 (Handelshøyskolen)</t>
        </is>
      </c>
      <c r="D182" s="34" t="n">
        <v>8393.43</v>
      </c>
      <c r="E182" s="7" t="inlineStr">
        <is>
          <t>EMP-107</t>
        </is>
      </c>
      <c r="F182" s="7" t="inlineStr">
        <is>
          <t>EMP-114</t>
        </is>
      </c>
      <c r="G182" s="66" t="n">
        <v>1</v>
      </c>
      <c r="H182" s="6" t="inlineStr">
        <is>
          <t>Sensorhonorarer - Okt 2026 (Handelshøyskolen)</t>
        </is>
      </c>
      <c r="I182" s="6">
        <f>IF(E182=F182, "BRUDD: Egengodkjenning", IF(G182=0, "MANGLER BILAG", "OK"))</f>
        <v/>
      </c>
    </row>
    <row r="183">
      <c r="A183" s="7" t="inlineStr">
        <is>
          <t>TX-10090</t>
        </is>
      </c>
      <c r="B183" s="7" t="inlineStr">
        <is>
          <t>5330</t>
        </is>
      </c>
      <c r="C183" s="6" t="inlineStr">
        <is>
          <t>Sensorhonorarer - Okt 2026 (Teknologi og Realfag)</t>
        </is>
      </c>
      <c r="D183" s="34" t="n">
        <v>7908.79</v>
      </c>
      <c r="E183" s="7" t="inlineStr">
        <is>
          <t>EMP-114</t>
        </is>
      </c>
      <c r="F183" s="7" t="inlineStr">
        <is>
          <t>EMP-108</t>
        </is>
      </c>
      <c r="G183" s="66" t="n">
        <v>1</v>
      </c>
      <c r="H183" s="6" t="inlineStr">
        <is>
          <t>Sensorhonorarer - Okt 2026 (Teknologi og Realfag)</t>
        </is>
      </c>
      <c r="I183" s="6">
        <f>IF(E183=F183, "BRUDD: Egengodkjenning", IF(G183=0, "MANGLER BILAG", "OK"))</f>
        <v/>
      </c>
    </row>
    <row r="184">
      <c r="A184" s="7" t="inlineStr">
        <is>
          <t>TX-10091</t>
        </is>
      </c>
      <c r="B184" s="7" t="inlineStr">
        <is>
          <t>7150</t>
        </is>
      </c>
      <c r="C184" s="6" t="inlineStr">
        <is>
          <t>Utenlandsreise fagkonferanse - Okt 2026 (Handelshøyskolen)</t>
        </is>
      </c>
      <c r="D184" s="34" t="n">
        <v>23574.3</v>
      </c>
      <c r="E184" s="7" t="inlineStr">
        <is>
          <t>EMP-106</t>
        </is>
      </c>
      <c r="F184" s="7" t="inlineStr">
        <is>
          <t>EMP-111</t>
        </is>
      </c>
      <c r="G184" s="66" t="n">
        <v>1</v>
      </c>
      <c r="H184" s="6" t="inlineStr">
        <is>
          <t>Utenlandsreise fagkonferanse - Okt 2026 (Handelshøyskolen)</t>
        </is>
      </c>
      <c r="I184" s="6">
        <f>IF(E184=F184, "BRUDD: Egengodkjenning", IF(G184=0, "MANGLER BILAG", "OK"))</f>
        <v/>
      </c>
    </row>
    <row r="185">
      <c r="A185" s="7" t="inlineStr">
        <is>
          <t>TX-10092</t>
        </is>
      </c>
      <c r="B185" s="7" t="inlineStr">
        <is>
          <t>5330</t>
        </is>
      </c>
      <c r="C185" s="6" t="inlineStr">
        <is>
          <t>Sensorhonorarer - Okt 2026 (Handelshøyskolen)</t>
        </is>
      </c>
      <c r="D185" s="34" t="n">
        <v>7670.19</v>
      </c>
      <c r="E185" s="7" t="inlineStr">
        <is>
          <t>EMP-108</t>
        </is>
      </c>
      <c r="F185" s="7" t="inlineStr">
        <is>
          <t>EMP-102</t>
        </is>
      </c>
      <c r="G185" s="66" t="n">
        <v>0</v>
      </c>
      <c r="H185" s="6" t="inlineStr">
        <is>
          <t>Sensorhonorarer - Okt 2026 (Handelshøyskolen)</t>
        </is>
      </c>
      <c r="I185" s="6">
        <f>IF(E185=F185, "BRUDD: Egengodkjenning", IF(G185=0, "MANGLER BILAG", "OK"))</f>
        <v/>
      </c>
    </row>
    <row r="186">
      <c r="A186" s="7" t="inlineStr">
        <is>
          <t>TX-10093</t>
        </is>
      </c>
      <c r="B186" s="7" t="inlineStr">
        <is>
          <t>7100</t>
        </is>
      </c>
      <c r="C186" s="6" t="inlineStr">
        <is>
          <t>Bilgodtgjørelse feltarbeid - Okt 2026 (Fellesadministrasjon)</t>
        </is>
      </c>
      <c r="D186" s="34" t="n">
        <v>13758.65</v>
      </c>
      <c r="E186" s="7" t="inlineStr">
        <is>
          <t>EMP-108</t>
        </is>
      </c>
      <c r="F186" s="7" t="inlineStr">
        <is>
          <t>EMP-103</t>
        </is>
      </c>
      <c r="G186" s="66" t="n">
        <v>1</v>
      </c>
      <c r="H186" s="6" t="inlineStr">
        <is>
          <t>Bilgodtgjørelse feltarbeid - Okt 2026 (Fellesadministrasjon)</t>
        </is>
      </c>
      <c r="I186" s="6">
        <f>IF(E186=F186, "BRUDD: Egengodkjenning", IF(G186=0, "MANGLER BILAG", "OK"))</f>
        <v/>
      </c>
    </row>
    <row r="187">
      <c r="A187" s="7" t="inlineStr">
        <is>
          <t>TX-10094</t>
        </is>
      </c>
      <c r="B187" s="7" t="inlineStr">
        <is>
          <t>5000</t>
        </is>
      </c>
      <c r="C187" s="6" t="inlineStr">
        <is>
          <t>Fast Lønn - Okt 2026 (Handelshøyskolen)</t>
        </is>
      </c>
      <c r="D187" s="34" t="n">
        <v>39384.69</v>
      </c>
      <c r="E187" s="7" t="inlineStr">
        <is>
          <t>EMP-117</t>
        </is>
      </c>
      <c r="F187" s="7" t="inlineStr">
        <is>
          <t>EMP-103</t>
        </is>
      </c>
      <c r="G187" s="66" t="n">
        <v>1</v>
      </c>
      <c r="H187" s="6" t="inlineStr">
        <is>
          <t>Fast Lønn - Okt 2026 (Handelshøyskolen)</t>
        </is>
      </c>
      <c r="I187" s="6">
        <f>IF(E187=F187, "BRUDD: Egengodkjenning", IF(G187=0, "MANGLER BILAG", "OK"))</f>
        <v/>
      </c>
    </row>
    <row r="188">
      <c r="A188" s="7" t="inlineStr">
        <is>
          <t>TX-TEST-901</t>
        </is>
      </c>
      <c r="B188" s="7" t="inlineStr">
        <is>
          <t>5000</t>
        </is>
      </c>
      <c r="C188" s="6" t="inlineStr">
        <is>
          <t>Oktober Lønnskjøring</t>
        </is>
      </c>
      <c r="D188" s="34" t="n">
        <v>45000</v>
      </c>
      <c r="E188" s="7" t="inlineStr">
        <is>
          <t>EMP-102</t>
        </is>
      </c>
      <c r="F188" s="7" t="inlineStr">
        <is>
          <t>EMP-201</t>
        </is>
      </c>
      <c r="G188" s="66" t="n">
        <v>1</v>
      </c>
      <c r="H188" s="6" t="inlineStr">
        <is>
          <t>Lønn oktober</t>
        </is>
      </c>
      <c r="I188" s="6">
        <f>IF(E188=F188, "BRUDD: Egengodkjenning", IF(G188=0, "MANGLER BILAG", "OK"))</f>
        <v/>
      </c>
    </row>
    <row r="189">
      <c r="A189" s="7" t="inlineStr">
        <is>
          <t>TX-TEST-902</t>
        </is>
      </c>
      <c r="B189" s="7" t="inlineStr">
        <is>
          <t>6800</t>
        </is>
      </c>
      <c r="C189" s="6" t="inlineStr">
        <is>
          <t>Fagbøker</t>
        </is>
      </c>
      <c r="D189" s="34" t="n">
        <v>3200</v>
      </c>
      <c r="E189" s="7" t="inlineStr">
        <is>
          <t>EMP-102</t>
        </is>
      </c>
      <c r="F189" s="7" t="inlineStr">
        <is>
          <t>EMP-202</t>
        </is>
      </c>
      <c r="G189" s="66" t="n">
        <v>1</v>
      </c>
      <c r="H189" s="6" t="inlineStr">
        <is>
          <t>Pensum</t>
        </is>
      </c>
      <c r="I189" s="6">
        <f>IF(E189=F189, "BRUDD: Egengodkjenning", IF(G189=0,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42" customWidth="1" min="2" max="2"/>
    <col width="21" customWidth="1" min="3" max="3"/>
    <col width="22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8" customWidth="1" min="10" max="10"/>
    <col width="19" customWidth="1" min="11" max="11"/>
    <col width="19" customWidth="1" min="12" max="12"/>
    <col width="16" customWidth="1" min="13" max="13"/>
    <col width="12" customWidth="1" min="14" max="14"/>
    <col width="21" customWidth="1" min="15" max="15"/>
    <col width="17" customWidth="1" min="16" max="16"/>
    <col width="40" customWidth="1" min="17" max="17"/>
    <col width="90" customWidth="1" min="18" max="18"/>
  </cols>
  <sheetData>
    <row r="1">
      <c r="A1" s="4" t="inlineStr">
        <is>
          <t>Prosjekt</t>
        </is>
      </c>
      <c r="B1" s="4" t="inlineStr">
        <is>
          <t>Prosjektnavn</t>
        </is>
      </c>
      <c r="C1" s="4" t="inlineStr">
        <is>
          <t>Finansieringstype</t>
        </is>
      </c>
      <c r="D1" s="4" t="inlineStr">
        <is>
          <t>Finansieringskilde</t>
        </is>
      </c>
      <c r="E1" s="4" t="inlineStr">
        <is>
          <t>Kontraktsbelop</t>
        </is>
      </c>
      <c r="F1" s="4" t="inlineStr">
        <is>
          <t>Budsjett</t>
        </is>
      </c>
      <c r="G1" s="4" t="inlineStr">
        <is>
          <t>Frikjop</t>
        </is>
      </c>
      <c r="H1" s="4" t="inlineStr">
        <is>
          <t>DirekteDrift</t>
        </is>
      </c>
      <c r="I1" s="4" t="inlineStr">
        <is>
          <t>Overhead</t>
        </is>
      </c>
      <c r="J1" s="4" t="inlineStr">
        <is>
          <t>Leiested</t>
        </is>
      </c>
      <c r="K1" s="4" t="inlineStr">
        <is>
          <t>PåløptKostnad</t>
        </is>
      </c>
      <c r="L1" s="4" t="inlineStr">
        <is>
          <t>Inntektsført</t>
        </is>
      </c>
      <c r="M1" s="4" t="inlineStr">
        <is>
          <t>Dekningsgrad</t>
        </is>
      </c>
      <c r="N1" s="4" t="inlineStr">
        <is>
          <t>%TidGått</t>
        </is>
      </c>
      <c r="O1" s="4" t="inlineStr">
        <is>
          <t>%BudsjettForbrukt</t>
        </is>
      </c>
      <c r="P1" s="4" t="inlineStr">
        <is>
          <t>Forbruksavvik</t>
        </is>
      </c>
      <c r="Q1" s="4" t="inlineStr">
        <is>
          <t>RAG_Status</t>
        </is>
      </c>
      <c r="R1" s="4" t="inlineStr">
        <is>
          <t>StatusMerknad</t>
        </is>
      </c>
    </row>
    <row r="2">
      <c r="A2" s="6" t="inlineStr">
        <is>
          <t>NFR001</t>
        </is>
      </c>
      <c r="B2" s="6" t="inlineStr">
        <is>
          <t>NFR-AI: Kunstig intelligens i styring</t>
        </is>
      </c>
      <c r="C2" s="6" t="inlineStr">
        <is>
          <t>Bidrag</t>
        </is>
      </c>
      <c r="D2" s="6" t="inlineStr">
        <is>
          <t>NFR</t>
        </is>
      </c>
      <c r="E2" s="13" t="n">
        <v>12000000</v>
      </c>
      <c r="F2" s="13" t="n">
        <v>4000000</v>
      </c>
      <c r="G2" s="13" t="n">
        <v>1800000</v>
      </c>
      <c r="H2" s="13" t="n">
        <v>1100000</v>
      </c>
      <c r="I2" s="13" t="n">
        <v>880000</v>
      </c>
      <c r="J2" s="13" t="n">
        <v>220000</v>
      </c>
      <c r="K2" s="13" t="n">
        <v>1680000</v>
      </c>
      <c r="L2" s="13" t="n">
        <v>1680000</v>
      </c>
      <c r="M2" s="71" t="n">
        <v>0.22</v>
      </c>
      <c r="N2" s="71" t="n">
        <v>0.65</v>
      </c>
      <c r="O2" s="71" t="n">
        <v>0.42</v>
      </c>
      <c r="P2" s="73" t="n">
        <v>-0.23</v>
      </c>
      <c r="Q2" s="6" t="inlineStr">
        <is>
          <t>GUL: Betydelig fremdriftsforsinkelse</t>
        </is>
      </c>
      <c r="R2" s="6" t="inlineStr">
        <is>
          <t>Forsinket stipendiatrekruttering og lav fremdrift. Tiltak T003 iverksatt.</t>
        </is>
      </c>
    </row>
    <row r="3">
      <c r="A3" s="6" t="inlineStr">
        <is>
          <t>NFR002</t>
        </is>
      </c>
      <c r="B3" s="6" t="inlineStr">
        <is>
          <t>NFR-Helse: Pasientsikkerhet i helsefag</t>
        </is>
      </c>
      <c r="C3" s="6" t="inlineStr">
        <is>
          <t>Bidrag</t>
        </is>
      </c>
      <c r="D3" s="6" t="inlineStr">
        <is>
          <t>NFR</t>
        </is>
      </c>
      <c r="E3" s="13" t="n">
        <v>8500000</v>
      </c>
      <c r="F3" s="13" t="n">
        <v>2800000</v>
      </c>
      <c r="G3" s="13" t="n">
        <v>1300000</v>
      </c>
      <c r="H3" s="13" t="n">
        <v>800000</v>
      </c>
      <c r="I3" s="13" t="n">
        <v>616000</v>
      </c>
      <c r="J3" s="13" t="n">
        <v>84000</v>
      </c>
      <c r="K3" s="13" t="n">
        <v>1450000</v>
      </c>
      <c r="L3" s="13" t="n">
        <v>1450000</v>
      </c>
      <c r="M3" s="71" t="n">
        <v>0.22</v>
      </c>
      <c r="N3" s="71" t="n">
        <v>0.52</v>
      </c>
      <c r="O3" s="71" t="n">
        <v>0.518</v>
      </c>
      <c r="P3" s="73" t="n">
        <v>-0.002</v>
      </c>
      <c r="Q3" s="6" t="inlineStr">
        <is>
          <t>GRØNN: I rute</t>
        </is>
      </c>
      <c r="R3" s="6" t="inlineStr">
        <is>
          <t>I rute iht. prosjektplan og milepæler.</t>
        </is>
      </c>
    </row>
    <row r="4">
      <c r="A4" s="6" t="inlineStr">
        <is>
          <t>EU001</t>
        </is>
      </c>
      <c r="B4" s="6" t="inlineStr">
        <is>
          <t>EU Horizon: Green Maritime Tech</t>
        </is>
      </c>
      <c r="C4" s="6" t="inlineStr">
        <is>
          <t>Bidrag</t>
        </is>
      </c>
      <c r="D4" s="6" t="inlineStr">
        <is>
          <t>EU</t>
        </is>
      </c>
      <c r="E4" s="13" t="n">
        <v>18500000</v>
      </c>
      <c r="F4" s="13" t="n">
        <v>6200000</v>
      </c>
      <c r="G4" s="13" t="n">
        <v>2800000</v>
      </c>
      <c r="H4" s="13" t="n">
        <v>1800000</v>
      </c>
      <c r="I4" s="13" t="n">
        <v>1364000</v>
      </c>
      <c r="J4" s="13" t="n">
        <v>236000</v>
      </c>
      <c r="K4" s="13" t="n">
        <v>3100000</v>
      </c>
      <c r="L4" s="13" t="n">
        <v>3100000</v>
      </c>
      <c r="M4" s="71" t="n">
        <v>0.22</v>
      </c>
      <c r="N4" s="71" t="n">
        <v>0.5</v>
      </c>
      <c r="O4" s="71" t="n">
        <v>0.5</v>
      </c>
      <c r="P4" s="73" t="n">
        <v>0</v>
      </c>
      <c r="Q4" s="6" t="inlineStr">
        <is>
          <t>GRØNN: I rute</t>
        </is>
      </c>
      <c r="R4" s="6" t="inlineStr">
        <is>
          <t>Green Maritime Tech i rute for Horizon Europe.</t>
        </is>
      </c>
    </row>
    <row r="5">
      <c r="A5" s="6" t="inlineStr">
        <is>
          <t>EU002</t>
        </is>
      </c>
      <c r="B5" s="6" t="inlineStr">
        <is>
          <t>EU Horizon: Digital Governance</t>
        </is>
      </c>
      <c r="C5" s="6" t="inlineStr">
        <is>
          <t>Bidrag</t>
        </is>
      </c>
      <c r="D5" s="6" t="inlineStr">
        <is>
          <t>EU</t>
        </is>
      </c>
      <c r="E5" s="13" t="n">
        <v>14000000</v>
      </c>
      <c r="F5" s="13" t="n">
        <v>4500000</v>
      </c>
      <c r="G5" s="13" t="n">
        <v>2100000</v>
      </c>
      <c r="H5" s="13" t="n">
        <v>1200000</v>
      </c>
      <c r="I5" s="13" t="n">
        <v>990000</v>
      </c>
      <c r="J5" s="13" t="n">
        <v>210000</v>
      </c>
      <c r="K5" s="13" t="n">
        <v>2150000</v>
      </c>
      <c r="L5" s="13" t="n">
        <v>2150000</v>
      </c>
      <c r="M5" s="71" t="n">
        <v>0.22</v>
      </c>
      <c r="N5" s="71" t="n">
        <v>0.48</v>
      </c>
      <c r="O5" s="71" t="n">
        <v>0.478</v>
      </c>
      <c r="P5" s="73" t="n">
        <v>-0.002</v>
      </c>
      <c r="Q5" s="6" t="inlineStr">
        <is>
          <t>GRØNN: I rute</t>
        </is>
      </c>
      <c r="R5" s="6" t="inlineStr">
        <is>
          <t>Digital Governance i rute for Horizon Europe.</t>
        </is>
      </c>
    </row>
    <row r="6">
      <c r="A6" s="6" t="inlineStr">
        <is>
          <t>EVU001</t>
        </is>
      </c>
      <c r="B6" s="6" t="inlineStr">
        <is>
          <t>EVU Videreutdanning for kommuner</t>
        </is>
      </c>
      <c r="C6" s="6" t="inlineStr">
        <is>
          <t>Oppdrag</t>
        </is>
      </c>
      <c r="D6" s="6" t="inlineStr">
        <is>
          <t>Ekstern</t>
        </is>
      </c>
      <c r="E6" s="13" t="n">
        <v>3500000</v>
      </c>
      <c r="F6" s="13" t="n">
        <v>1200000</v>
      </c>
      <c r="G6" s="13" t="n">
        <v>450000</v>
      </c>
      <c r="H6" s="13" t="n">
        <v>450000</v>
      </c>
      <c r="I6" s="13" t="n">
        <v>300000</v>
      </c>
      <c r="J6" s="73" t="n">
        <v>0</v>
      </c>
      <c r="K6" s="13" t="n">
        <v>864000</v>
      </c>
      <c r="L6" s="13" t="n">
        <v>600000</v>
      </c>
      <c r="M6" s="71" t="n">
        <v>0.25</v>
      </c>
      <c r="N6" s="71" t="n">
        <v>0.5</v>
      </c>
      <c r="O6" s="71" t="n">
        <v>0.72</v>
      </c>
      <c r="P6" s="73" t="n">
        <v>0.22</v>
      </c>
      <c r="Q6" s="6" t="inlineStr">
        <is>
          <t>RØD: Betydelig merforbruk</t>
        </is>
      </c>
      <c r="R6" s="6" t="inlineStr">
        <is>
          <t>Konsulentmerforbruk og tapsrisiko (SRS 9). Tapsavsetning konto 7790/2800. Tiltak T004.</t>
        </is>
      </c>
    </row>
    <row r="7">
      <c r="A7" s="6" t="inlineStr">
        <is>
          <t>OPPDRAG01</t>
        </is>
      </c>
      <c r="B7" s="6" t="inlineStr">
        <is>
          <t>Oppdragsforskning Batteriteknologi</t>
        </is>
      </c>
      <c r="C7" s="6" t="inlineStr">
        <is>
          <t>Oppdrag</t>
        </is>
      </c>
      <c r="D7" s="6" t="inlineStr">
        <is>
          <t>Næringsliv</t>
        </is>
      </c>
      <c r="E7" s="13" t="n">
        <v>5000000</v>
      </c>
      <c r="F7" s="13" t="n">
        <v>1800000</v>
      </c>
      <c r="G7" s="13" t="n">
        <v>750000</v>
      </c>
      <c r="H7" s="13" t="n">
        <v>550000</v>
      </c>
      <c r="I7" s="13" t="n">
        <v>450000</v>
      </c>
      <c r="J7" s="13" t="n">
        <v>50000</v>
      </c>
      <c r="K7" s="13" t="n">
        <v>890000</v>
      </c>
      <c r="L7" s="13" t="n">
        <v>890000</v>
      </c>
      <c r="M7" s="71" t="n">
        <v>0.25</v>
      </c>
      <c r="N7" s="71" t="n">
        <v>0.5</v>
      </c>
      <c r="O7" s="71" t="n">
        <v>0.494</v>
      </c>
      <c r="P7" s="73" t="n">
        <v>-0.006</v>
      </c>
      <c r="Q7" s="6" t="inlineStr">
        <is>
          <t>GRØNN: I rute</t>
        </is>
      </c>
      <c r="R7" s="6" t="inlineStr">
        <is>
          <t>Batteriteknologi oppdrag i henhold til leveranseplan.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51" customWidth="1" min="3" max="3"/>
    <col width="15" customWidth="1" min="4" max="4"/>
    <col width="15" customWidth="1" min="5" max="5"/>
    <col width="20" customWidth="1" min="6" max="6"/>
    <col width="31" customWidth="1" min="7" max="7"/>
    <col width="14" customWidth="1" min="8" max="8"/>
  </cols>
  <sheetData>
    <row r="1">
      <c r="A1" s="4" t="inlineStr">
        <is>
          <t>Konto</t>
        </is>
      </c>
      <c r="B1" s="4" t="inlineStr">
        <is>
          <t>StandardKonto3</t>
        </is>
      </c>
      <c r="C1" s="4" t="inlineStr">
        <is>
          <t>Kontonavn</t>
        </is>
      </c>
      <c r="D1" s="4" t="inlineStr">
        <is>
          <t>Kontoklasse</t>
        </is>
      </c>
      <c r="E1" s="4" t="inlineStr">
        <is>
          <t>Kontogruppe</t>
        </is>
      </c>
      <c r="F1" s="4" t="inlineStr">
        <is>
          <t>Kontotype</t>
        </is>
      </c>
      <c r="G1" s="4" t="inlineStr">
        <is>
          <t>SRS_regnskapslinje</t>
        </is>
      </c>
      <c r="H1" s="4" t="inlineStr">
        <is>
          <t>AktuellFor</t>
        </is>
      </c>
    </row>
    <row r="2">
      <c r="A2" s="33" t="n">
        <v>1250</v>
      </c>
      <c r="B2" s="33" t="n">
        <v>125</v>
      </c>
      <c r="C2" s="6" t="inlineStr">
        <is>
          <t>IKT-utstyr og maskiner (&gt;50k)</t>
        </is>
      </c>
      <c r="D2" s="6" t="n">
        <v>1</v>
      </c>
      <c r="E2" s="6" t="n">
        <v>12</v>
      </c>
      <c r="F2" s="6" t="inlineStr">
        <is>
          <t>Eiendeler</t>
        </is>
      </c>
      <c r="G2" s="6" t="inlineStr">
        <is>
          <t>Varige driftsmidler</t>
        </is>
      </c>
      <c r="H2" s="6" t="inlineStr">
        <is>
          <t>SRS/Alle</t>
        </is>
      </c>
    </row>
    <row r="3">
      <c r="A3" s="33" t="n">
        <v>2050</v>
      </c>
      <c r="B3" s="33" t="n">
        <v>205</v>
      </c>
      <c r="C3" s="6" t="inlineStr">
        <is>
          <t>Statens finansiering av anleggsmidler</t>
        </is>
      </c>
      <c r="D3" s="6" t="n">
        <v>2</v>
      </c>
      <c r="E3" s="6" t="n">
        <v>20</v>
      </c>
      <c r="F3" s="6" t="inlineStr">
        <is>
          <t>Gjeld/Kapital</t>
        </is>
      </c>
      <c r="G3" s="6" t="inlineStr">
        <is>
          <t>Statens kapital</t>
        </is>
      </c>
      <c r="H3" s="6" t="inlineStr">
        <is>
          <t>SRS/Alle</t>
        </is>
      </c>
    </row>
    <row r="4">
      <c r="A4" s="33" t="n">
        <v>2080</v>
      </c>
      <c r="B4" s="33" t="n">
        <v>208</v>
      </c>
      <c r="C4" s="6" t="inlineStr">
        <is>
          <t>Avsetning ubenyttet rammebevilgning (F-05-20)</t>
        </is>
      </c>
      <c r="D4" s="6" t="n">
        <v>2</v>
      </c>
      <c r="E4" s="6" t="n">
        <v>20</v>
      </c>
      <c r="F4" s="6" t="inlineStr">
        <is>
          <t>Gjeld/Kapital</t>
        </is>
      </c>
      <c r="G4" s="6" t="inlineStr">
        <is>
          <t>Avsetninger</t>
        </is>
      </c>
      <c r="H4" s="6" t="inlineStr">
        <is>
          <t>SRS/Alle</t>
        </is>
      </c>
    </row>
    <row r="5">
      <c r="A5" s="33" t="n">
        <v>2180</v>
      </c>
      <c r="B5" s="33" t="n">
        <v>218</v>
      </c>
      <c r="C5" s="6" t="inlineStr">
        <is>
          <t>Mottatt forskuddsbetaling bidrag (SRS 10)</t>
        </is>
      </c>
      <c r="D5" s="6" t="n">
        <v>2</v>
      </c>
      <c r="E5" s="6" t="n">
        <v>21</v>
      </c>
      <c r="F5" s="6" t="inlineStr">
        <is>
          <t>Kortsiktig gjeld</t>
        </is>
      </c>
      <c r="G5" s="6" t="inlineStr">
        <is>
          <t>Kortsiktig gjeld</t>
        </is>
      </c>
      <c r="H5" s="6" t="inlineStr">
        <is>
          <t>SRS/Alle</t>
        </is>
      </c>
    </row>
    <row r="6">
      <c r="A6" s="33" t="n">
        <v>2800</v>
      </c>
      <c r="B6" s="33" t="n">
        <v>280</v>
      </c>
      <c r="C6" s="6" t="inlineStr">
        <is>
          <t>Avsetning for forventet tap på oppdrag (SRS 9)</t>
        </is>
      </c>
      <c r="D6" s="6" t="n">
        <v>2</v>
      </c>
      <c r="E6" s="6" t="n">
        <v>28</v>
      </c>
      <c r="F6" s="6" t="inlineStr">
        <is>
          <t>Kortsiktig gjeld</t>
        </is>
      </c>
      <c r="G6" s="6" t="inlineStr">
        <is>
          <t>Avsetning for forpliktelser</t>
        </is>
      </c>
      <c r="H6" s="6" t="inlineStr">
        <is>
          <t>SRS/Alle</t>
        </is>
      </c>
    </row>
    <row r="7">
      <c r="A7" s="33" t="n">
        <v>3030</v>
      </c>
      <c r="B7" s="33" t="n">
        <v>303</v>
      </c>
      <c r="C7" s="6" t="inlineStr">
        <is>
          <t>Salgsinntekt tjenester, avgiftspliktig</t>
        </is>
      </c>
      <c r="D7" s="6" t="n">
        <v>3</v>
      </c>
      <c r="E7" s="6" t="n">
        <v>30</v>
      </c>
      <c r="F7" s="6" t="inlineStr">
        <is>
          <t>Inntekt</t>
        </is>
      </c>
      <c r="G7" s="6" t="inlineStr">
        <is>
          <t>Salgsinntekt</t>
        </is>
      </c>
      <c r="H7" s="6" t="inlineStr">
        <is>
          <t>SRS/Alle</t>
        </is>
      </c>
    </row>
    <row r="8">
      <c r="A8" s="33" t="n">
        <v>3130</v>
      </c>
      <c r="B8" s="33" t="n">
        <v>313</v>
      </c>
      <c r="C8" s="6" t="inlineStr">
        <is>
          <t>Salgsinntekt tjenester, avgiftsfri</t>
        </is>
      </c>
      <c r="D8" s="6" t="n">
        <v>3</v>
      </c>
      <c r="E8" s="6" t="n">
        <v>31</v>
      </c>
      <c r="F8" s="6" t="inlineStr">
        <is>
          <t>Inntekt</t>
        </is>
      </c>
      <c r="G8" s="6" t="inlineStr">
        <is>
          <t>Salgsinntekt</t>
        </is>
      </c>
      <c r="H8" s="6" t="inlineStr">
        <is>
          <t>SRS/Alle</t>
        </is>
      </c>
    </row>
    <row r="9">
      <c r="A9" s="33" t="n">
        <v>3400</v>
      </c>
      <c r="B9" s="33" t="n">
        <v>340</v>
      </c>
      <c r="C9" s="6" t="inlineStr">
        <is>
          <t>Tilskudd fra Norges forskningsråd (SRS 10)</t>
        </is>
      </c>
      <c r="D9" s="6" t="n">
        <v>3</v>
      </c>
      <c r="E9" s="6" t="n">
        <v>34</v>
      </c>
      <c r="F9" s="6" t="inlineStr">
        <is>
          <t>Inntekt</t>
        </is>
      </c>
      <c r="G9" s="6" t="inlineStr">
        <is>
          <t>Tilskudd og overføringer</t>
        </is>
      </c>
      <c r="H9" s="6" t="inlineStr">
        <is>
          <t>SRS/Alle</t>
        </is>
      </c>
    </row>
    <row r="10">
      <c r="A10" s="33" t="n">
        <v>3410</v>
      </c>
      <c r="B10" s="33" t="n">
        <v>341</v>
      </c>
      <c r="C10" s="6" t="inlineStr">
        <is>
          <t>Tilskudd fra andre statlige virksomheter</t>
        </is>
      </c>
      <c r="D10" s="6" t="n">
        <v>3</v>
      </c>
      <c r="E10" s="6" t="n">
        <v>34</v>
      </c>
      <c r="F10" s="6" t="inlineStr">
        <is>
          <t>Inntekt</t>
        </is>
      </c>
      <c r="G10" s="6" t="inlineStr">
        <is>
          <t>Tilskudd og overføringer</t>
        </is>
      </c>
      <c r="H10" s="6" t="inlineStr">
        <is>
          <t>SRS/Alle</t>
        </is>
      </c>
    </row>
    <row r="11">
      <c r="A11" s="33" t="n">
        <v>3420</v>
      </c>
      <c r="B11" s="33" t="n">
        <v>342</v>
      </c>
      <c r="C11" s="6" t="inlineStr">
        <is>
          <t>Tilskudd fra EU Horisont Europa (SRS 10)</t>
        </is>
      </c>
      <c r="D11" s="6" t="n">
        <v>3</v>
      </c>
      <c r="E11" s="6" t="n">
        <v>34</v>
      </c>
      <c r="F11" s="6" t="inlineStr">
        <is>
          <t>Inntekt</t>
        </is>
      </c>
      <c r="G11" s="6" t="inlineStr">
        <is>
          <t>Tilskudd og overføringer</t>
        </is>
      </c>
      <c r="H11" s="6" t="inlineStr">
        <is>
          <t>SRS/Alle</t>
        </is>
      </c>
    </row>
    <row r="12">
      <c r="A12" s="33" t="n">
        <v>3450</v>
      </c>
      <c r="B12" s="33" t="n">
        <v>345</v>
      </c>
      <c r="C12" s="6" t="inlineStr">
        <is>
          <t>Oppdragsinntekt fra næringsliv (SRS 9)</t>
        </is>
      </c>
      <c r="D12" s="6" t="n">
        <v>3</v>
      </c>
      <c r="E12" s="6" t="n">
        <v>34</v>
      </c>
      <c r="F12" s="6" t="inlineStr">
        <is>
          <t>Inntekt</t>
        </is>
      </c>
      <c r="G12" s="6" t="inlineStr">
        <is>
          <t>Tilskudd og overføringer</t>
        </is>
      </c>
      <c r="H12" s="6" t="inlineStr">
        <is>
          <t>SRS/Alle</t>
        </is>
      </c>
    </row>
    <row r="13">
      <c r="A13" s="33" t="n">
        <v>3900</v>
      </c>
      <c r="B13" s="33" t="n">
        <v>390</v>
      </c>
      <c r="C13" s="6" t="inlineStr">
        <is>
          <t>Inntekt fra statlig rammebevilgning (Kap 260)</t>
        </is>
      </c>
      <c r="D13" s="6" t="n">
        <v>3</v>
      </c>
      <c r="E13" s="6" t="n">
        <v>39</v>
      </c>
      <c r="F13" s="6" t="inlineStr">
        <is>
          <t>Inntekt</t>
        </is>
      </c>
      <c r="G13" s="6" t="inlineStr">
        <is>
          <t>Inntekt fra bevilgninger</t>
        </is>
      </c>
      <c r="H13" s="6" t="inlineStr">
        <is>
          <t>SRS/Alle</t>
        </is>
      </c>
    </row>
    <row r="14">
      <c r="A14" s="33" t="n">
        <v>5000</v>
      </c>
      <c r="B14" s="33" t="n">
        <v>500</v>
      </c>
      <c r="C14" s="6" t="inlineStr">
        <is>
          <t>Lønn fast ansatte</t>
        </is>
      </c>
      <c r="D14" s="6" t="n">
        <v>5</v>
      </c>
      <c r="E14" s="6" t="n">
        <v>50</v>
      </c>
      <c r="F14" s="6" t="inlineStr">
        <is>
          <t>Kostnad</t>
        </is>
      </c>
      <c r="G14" s="6" t="inlineStr">
        <is>
          <t>Lønnskostnader</t>
        </is>
      </c>
      <c r="H14" s="6" t="inlineStr">
        <is>
          <t>SRS/Alle</t>
        </is>
      </c>
    </row>
    <row r="15">
      <c r="A15" s="33" t="n">
        <v>5050</v>
      </c>
      <c r="B15" s="33" t="n">
        <v>505</v>
      </c>
      <c r="C15" s="6" t="inlineStr">
        <is>
          <t>Overtid fast ansatte</t>
        </is>
      </c>
      <c r="D15" s="6" t="n">
        <v>5</v>
      </c>
      <c r="E15" s="6" t="n">
        <v>50</v>
      </c>
      <c r="F15" s="6" t="inlineStr">
        <is>
          <t>Kostnad</t>
        </is>
      </c>
      <c r="G15" s="6" t="inlineStr">
        <is>
          <t>Lønnskostnader</t>
        </is>
      </c>
      <c r="H15" s="6" t="inlineStr">
        <is>
          <t>SRS/Alle</t>
        </is>
      </c>
    </row>
    <row r="16">
      <c r="A16" s="33" t="n">
        <v>5080</v>
      </c>
      <c r="B16" s="33" t="n">
        <v>508</v>
      </c>
      <c r="C16" s="6" t="inlineStr">
        <is>
          <t>Feriepenger</t>
        </is>
      </c>
      <c r="D16" s="6" t="n">
        <v>5</v>
      </c>
      <c r="E16" s="6" t="n">
        <v>50</v>
      </c>
      <c r="F16" s="6" t="inlineStr">
        <is>
          <t>Kostnad</t>
        </is>
      </c>
      <c r="G16" s="6" t="inlineStr">
        <is>
          <t>Lønnskostnader</t>
        </is>
      </c>
      <c r="H16" s="6" t="inlineStr">
        <is>
          <t>SRS/Alle</t>
        </is>
      </c>
    </row>
    <row r="17">
      <c r="A17" s="33" t="n">
        <v>5100</v>
      </c>
      <c r="B17" s="33" t="n">
        <v>510</v>
      </c>
      <c r="C17" s="6" t="inlineStr">
        <is>
          <t>Lønn midlertidig ansatte</t>
        </is>
      </c>
      <c r="D17" s="6" t="n">
        <v>5</v>
      </c>
      <c r="E17" s="6" t="n">
        <v>51</v>
      </c>
      <c r="F17" s="6" t="inlineStr">
        <is>
          <t>Kostnad</t>
        </is>
      </c>
      <c r="G17" s="6" t="inlineStr">
        <is>
          <t>Lønnskostnader</t>
        </is>
      </c>
      <c r="H17" s="6" t="inlineStr">
        <is>
          <t>SRS/Alle</t>
        </is>
      </c>
    </row>
    <row r="18">
      <c r="A18" s="33" t="n">
        <v>5400</v>
      </c>
      <c r="B18" s="33" t="n">
        <v>540</v>
      </c>
      <c r="C18" s="6" t="inlineStr">
        <is>
          <t>Arbeidsgiveravgift</t>
        </is>
      </c>
      <c r="D18" s="6" t="n">
        <v>5</v>
      </c>
      <c r="E18" s="6" t="n">
        <v>54</v>
      </c>
      <c r="F18" s="6" t="inlineStr">
        <is>
          <t>Kostnad</t>
        </is>
      </c>
      <c r="G18" s="6" t="inlineStr">
        <is>
          <t>Lønnskostnader</t>
        </is>
      </c>
      <c r="H18" s="6" t="inlineStr">
        <is>
          <t>SRS/Alle</t>
        </is>
      </c>
    </row>
    <row r="19">
      <c r="A19" s="33" t="n">
        <v>5420</v>
      </c>
      <c r="B19" s="33" t="n">
        <v>542</v>
      </c>
      <c r="C19" s="6" t="inlineStr">
        <is>
          <t>Pensjonspremie til SPK</t>
        </is>
      </c>
      <c r="D19" s="6" t="n">
        <v>5</v>
      </c>
      <c r="E19" s="6" t="n">
        <v>54</v>
      </c>
      <c r="F19" s="6" t="inlineStr">
        <is>
          <t>Kostnad</t>
        </is>
      </c>
      <c r="G19" s="6" t="inlineStr">
        <is>
          <t>Lønnskostnader</t>
        </is>
      </c>
      <c r="H19" s="6" t="inlineStr">
        <is>
          <t>SRS/Alle</t>
        </is>
      </c>
    </row>
    <row r="20">
      <c r="A20" s="33" t="n">
        <v>5800</v>
      </c>
      <c r="B20" s="33" t="n">
        <v>580</v>
      </c>
      <c r="C20" s="6" t="inlineStr">
        <is>
          <t>Refusjon av sykepenger</t>
        </is>
      </c>
      <c r="D20" s="6" t="n">
        <v>5</v>
      </c>
      <c r="E20" s="6" t="n">
        <v>58</v>
      </c>
      <c r="F20" s="6" t="inlineStr">
        <is>
          <t>Kostnad</t>
        </is>
      </c>
      <c r="G20" s="6" t="inlineStr">
        <is>
          <t>Lønnskostnader</t>
        </is>
      </c>
      <c r="H20" s="6" t="inlineStr">
        <is>
          <t>SRS/Alle</t>
        </is>
      </c>
    </row>
    <row r="21">
      <c r="A21" s="33" t="n">
        <v>5810</v>
      </c>
      <c r="B21" s="33" t="n">
        <v>581</v>
      </c>
      <c r="C21" s="6" t="inlineStr">
        <is>
          <t>Refusjon av foreldrepenger</t>
        </is>
      </c>
      <c r="D21" s="6" t="n">
        <v>5</v>
      </c>
      <c r="E21" s="6" t="n">
        <v>58</v>
      </c>
      <c r="F21" s="6" t="inlineStr">
        <is>
          <t>Kostnad</t>
        </is>
      </c>
      <c r="G21" s="6" t="inlineStr">
        <is>
          <t>Lønnskostnader</t>
        </is>
      </c>
      <c r="H21" s="6" t="inlineStr">
        <is>
          <t>SRS/Alle</t>
        </is>
      </c>
    </row>
    <row r="22">
      <c r="A22" s="33" t="n">
        <v>6050</v>
      </c>
      <c r="B22" s="33" t="n">
        <v>605</v>
      </c>
      <c r="C22" s="6" t="inlineStr">
        <is>
          <t>Ordinære avskrivninger IKT og utstyr (SRS 17)</t>
        </is>
      </c>
      <c r="D22" s="6" t="n">
        <v>6</v>
      </c>
      <c r="E22" s="6" t="n">
        <v>60</v>
      </c>
      <c r="F22" s="6" t="inlineStr">
        <is>
          <t>Kostnad</t>
        </is>
      </c>
      <c r="G22" s="6" t="inlineStr">
        <is>
          <t>Av- og nedskrivninger</t>
        </is>
      </c>
      <c r="H22" s="6" t="inlineStr">
        <is>
          <t>SRS/Alle</t>
        </is>
      </c>
    </row>
    <row r="23">
      <c r="A23" s="33" t="n">
        <v>6300</v>
      </c>
      <c r="B23" s="33" t="n">
        <v>630</v>
      </c>
      <c r="C23" s="6" t="inlineStr">
        <is>
          <t>Leie lokaler</t>
        </is>
      </c>
      <c r="D23" s="6" t="n">
        <v>6</v>
      </c>
      <c r="E23" s="6" t="n">
        <v>63</v>
      </c>
      <c r="F23" s="6" t="inlineStr">
        <is>
          <t>Kostnad</t>
        </is>
      </c>
      <c r="G23" s="6" t="inlineStr">
        <is>
          <t>Andre driftskostnader</t>
        </is>
      </c>
      <c r="H23" s="6" t="inlineStr">
        <is>
          <t>SRS/Alle</t>
        </is>
      </c>
    </row>
    <row r="24">
      <c r="A24" s="33" t="n">
        <v>6420</v>
      </c>
      <c r="B24" s="33" t="n">
        <v>642</v>
      </c>
      <c r="C24" s="6" t="inlineStr">
        <is>
          <t>Leie av datasystemer og lisenser</t>
        </is>
      </c>
      <c r="D24" s="6" t="n">
        <v>6</v>
      </c>
      <c r="E24" s="6" t="n">
        <v>64</v>
      </c>
      <c r="F24" s="6" t="inlineStr">
        <is>
          <t>Kostnad</t>
        </is>
      </c>
      <c r="G24" s="6" t="inlineStr">
        <is>
          <t>Andre driftskostnader</t>
        </is>
      </c>
      <c r="H24" s="6" t="inlineStr">
        <is>
          <t>SRS/Alle</t>
        </is>
      </c>
    </row>
    <row r="25">
      <c r="A25" s="33" t="n">
        <v>6710</v>
      </c>
      <c r="B25" s="33" t="n">
        <v>671</v>
      </c>
      <c r="C25" s="6" t="inlineStr">
        <is>
          <t>Konsulenttjenester programvare/IKT (FOA)</t>
        </is>
      </c>
      <c r="D25" s="6" t="n">
        <v>6</v>
      </c>
      <c r="E25" s="6" t="n">
        <v>67</v>
      </c>
      <c r="F25" s="6" t="inlineStr">
        <is>
          <t>Kostnad</t>
        </is>
      </c>
      <c r="G25" s="6" t="inlineStr">
        <is>
          <t>Andre driftskostnader</t>
        </is>
      </c>
      <c r="H25" s="6" t="inlineStr">
        <is>
          <t>SRS/Alle</t>
        </is>
      </c>
    </row>
    <row r="26">
      <c r="A26" s="33" t="n">
        <v>6730</v>
      </c>
      <c r="B26" s="33" t="n">
        <v>673</v>
      </c>
      <c r="C26" s="6" t="inlineStr">
        <is>
          <t>Andre konsulenttjenester (FOA del II)</t>
        </is>
      </c>
      <c r="D26" s="6" t="n">
        <v>6</v>
      </c>
      <c r="E26" s="6" t="n">
        <v>67</v>
      </c>
      <c r="F26" s="6" t="inlineStr">
        <is>
          <t>Kostnad</t>
        </is>
      </c>
      <c r="G26" s="6" t="inlineStr">
        <is>
          <t>Andre driftskostnader</t>
        </is>
      </c>
      <c r="H26" s="6" t="inlineStr">
        <is>
          <t>SRS/Alle</t>
        </is>
      </c>
    </row>
    <row r="27">
      <c r="A27" s="33" t="n">
        <v>6740</v>
      </c>
      <c r="B27" s="33" t="n">
        <v>674</v>
      </c>
      <c r="C27" s="6" t="inlineStr">
        <is>
          <t>Innleie av vikarer og undervisningstimer</t>
        </is>
      </c>
      <c r="D27" s="6" t="n">
        <v>6</v>
      </c>
      <c r="E27" s="6" t="n">
        <v>67</v>
      </c>
      <c r="F27" s="6" t="inlineStr">
        <is>
          <t>Kostnad</t>
        </is>
      </c>
      <c r="G27" s="6" t="inlineStr">
        <is>
          <t>Andre driftskostnader</t>
        </is>
      </c>
      <c r="H27" s="6" t="inlineStr">
        <is>
          <t>SRS/Alle</t>
        </is>
      </c>
    </row>
    <row r="28">
      <c r="A28" s="33" t="n">
        <v>6800</v>
      </c>
      <c r="B28" s="33" t="n">
        <v>680</v>
      </c>
      <c r="C28" s="6" t="inlineStr">
        <is>
          <t>Kontorrekvisita og labutstyr &lt;50k</t>
        </is>
      </c>
      <c r="D28" s="6" t="n">
        <v>6</v>
      </c>
      <c r="E28" s="6" t="n">
        <v>68</v>
      </c>
      <c r="F28" s="6" t="inlineStr">
        <is>
          <t>Kostnad</t>
        </is>
      </c>
      <c r="G28" s="6" t="inlineStr">
        <is>
          <t>Andre driftskostnader</t>
        </is>
      </c>
      <c r="H28" s="6" t="inlineStr">
        <is>
          <t>SRS/Alle</t>
        </is>
      </c>
    </row>
    <row r="29">
      <c r="A29" s="33" t="n">
        <v>7130</v>
      </c>
      <c r="B29" s="33" t="n">
        <v>713</v>
      </c>
      <c r="C29" s="6" t="inlineStr">
        <is>
          <t>Reisekostnader</t>
        </is>
      </c>
      <c r="D29" s="6" t="n">
        <v>7</v>
      </c>
      <c r="E29" s="6" t="n">
        <v>71</v>
      </c>
      <c r="F29" s="6" t="inlineStr">
        <is>
          <t>Kostnad</t>
        </is>
      </c>
      <c r="G29" s="6" t="inlineStr">
        <is>
          <t>Andre driftskostnader</t>
        </is>
      </c>
      <c r="H29" s="6" t="inlineStr">
        <is>
          <t>SRS/Alle</t>
        </is>
      </c>
    </row>
    <row r="30">
      <c r="A30" s="33" t="n">
        <v>7790</v>
      </c>
      <c r="B30" s="33" t="n">
        <v>779</v>
      </c>
      <c r="C30" s="6" t="inlineStr">
        <is>
          <t>Avsetning for tap på oppdragskontrakter (SRS 9)</t>
        </is>
      </c>
      <c r="D30" s="6" t="n">
        <v>7</v>
      </c>
      <c r="E30" s="6" t="n">
        <v>77</v>
      </c>
      <c r="F30" s="6" t="inlineStr">
        <is>
          <t>Kostnad</t>
        </is>
      </c>
      <c r="G30" s="6" t="inlineStr">
        <is>
          <t>Andre driftskostnader</t>
        </is>
      </c>
      <c r="H30" s="6" t="inlineStr">
        <is>
          <t>SRS/Alle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2026-10-04T18:12:45Z</dcterms:created>
  <dcterms:modified xmlns:dcterms="http://purl.org/dc/terms/" xmlns:xsi="http://www.w3.org/2001/XMLSchema-instance" xsi:type="dcterms:W3CDTF">2026-10-04T18:12:45Z</dcterms:modified>
</cp:coreProperties>
</file>