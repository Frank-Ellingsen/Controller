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14" headerRowCount="1">
  <autoFilter ref="A1:O1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93" headerRowCount="1">
  <autoFilter ref="A1:I93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G3" headerRowCount="1">
  <autoFilter ref="A1:G3"/>
  <tableColumns count="7">
    <tableColumn id="1" name="Prosjekt_ID"/>
    <tableColumn id="2" name="Prosjektnavn"/>
    <tableColumn id="3" name="Finansieringskilde"/>
    <tableColumn id="4" name="Totalbudsjett_NOK"/>
    <tableColumn id="5" name="Direkte_Kostnader_NOK"/>
    <tableColumn id="6" name="Overhead_TDI_NOK"/>
    <tableColumn id="7" name="Dekningsgrad_Prosent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D4" headerRowCount="1">
  <autoFilter ref="A1:D4"/>
  <tableColumns count="4">
    <tableColumn id="1" name="Konto"/>
    <tableColumn id="2" name="Kontonavn"/>
    <tableColumn id="3" name="Kontoklasse"/>
    <tableColumn id="4" name="Standard_SRS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16:43:42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16:43:42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16:43:42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16:43:42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16:43:42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2026-M09</t>
        </is>
      </c>
      <c r="B7" s="7" t="inlineStr">
        <is>
          <t>2026-10-04 18:52:19</t>
        </is>
      </c>
      <c r="C7" s="7" t="inlineStr">
        <is>
          <t>UM-DEF-02</t>
        </is>
      </c>
      <c r="D7" s="13" t="n">
        <v>18500000</v>
      </c>
      <c r="E7" s="13" t="n">
        <v>13875000</v>
      </c>
      <c r="F7" s="13" t="n">
        <v>14100000</v>
      </c>
      <c r="G7" s="13" t="n">
        <v>13500000</v>
      </c>
      <c r="H7" s="23" t="n">
        <v>1.04</v>
      </c>
      <c r="I7" s="23" t="n">
        <v>1.02</v>
      </c>
      <c r="J7" s="13" t="n">
        <v>17788461.54</v>
      </c>
      <c r="K7" s="13" t="n">
        <v>17647812.97</v>
      </c>
      <c r="L7" s="13" t="n">
        <v>17747104.25</v>
      </c>
      <c r="M7" s="13" t="n">
        <v>711538.46</v>
      </c>
      <c r="N7" s="23" t="n">
        <v>0.88</v>
      </c>
      <c r="O7" s="6" t="inlineStr">
        <is>
          <t>ON TRACK</t>
        </is>
      </c>
    </row>
    <row r="8">
      <c r="A8" s="7" t="inlineStr">
        <is>
          <t>2026-M09</t>
        </is>
      </c>
      <c r="B8" s="7" t="inlineStr">
        <is>
          <t>2026-10-04 18:52:19</t>
        </is>
      </c>
      <c r="C8" s="7" t="inlineStr">
        <is>
          <t>UM-ENG-03</t>
        </is>
      </c>
      <c r="D8" s="13" t="n">
        <v>8200000</v>
      </c>
      <c r="E8" s="13" t="n">
        <v>6150000</v>
      </c>
      <c r="F8" s="13" t="n">
        <v>4800000</v>
      </c>
      <c r="G8" s="13" t="n">
        <v>6500000</v>
      </c>
      <c r="H8" s="23" t="n">
        <v>0.74</v>
      </c>
      <c r="I8" s="23" t="n">
        <v>0.78</v>
      </c>
      <c r="J8" s="13" t="n">
        <v>11081081.08</v>
      </c>
      <c r="K8" s="13" t="n">
        <v>12390505.89</v>
      </c>
      <c r="L8" s="13" t="n">
        <v>11045454.55</v>
      </c>
      <c r="M8" s="13" t="n">
        <v>-2881081.08</v>
      </c>
      <c r="N8" s="23" t="n">
        <v>2</v>
      </c>
      <c r="O8" s="6" t="inlineStr">
        <is>
          <t>CRITICAL</t>
        </is>
      </c>
    </row>
    <row r="9">
      <c r="A9" s="7" t="inlineStr">
        <is>
          <t>2026-M09</t>
        </is>
      </c>
      <c r="B9" s="7" t="inlineStr">
        <is>
          <t>2026-10-04 18:52:19</t>
        </is>
      </c>
      <c r="C9" s="7" t="inlineStr">
        <is>
          <t>UM-FPV-01</t>
        </is>
      </c>
      <c r="D9" s="13" t="n">
        <v>45000000</v>
      </c>
      <c r="E9" s="13" t="n">
        <v>33750000</v>
      </c>
      <c r="F9" s="13" t="n">
        <v>31000000</v>
      </c>
      <c r="G9" s="13" t="n">
        <v>33800000</v>
      </c>
      <c r="H9" s="23" t="n">
        <v>0.92</v>
      </c>
      <c r="I9" s="23" t="n">
        <v>0.92</v>
      </c>
      <c r="J9" s="13" t="n">
        <v>48913043.48</v>
      </c>
      <c r="K9" s="13" t="n">
        <v>50340642.72</v>
      </c>
      <c r="L9" s="13" t="n">
        <v>49017391.3</v>
      </c>
      <c r="M9" s="13" t="n">
        <v>-3913043.48</v>
      </c>
      <c r="N9" s="23" t="n">
        <v>1.25</v>
      </c>
      <c r="O9" s="6" t="inlineStr">
        <is>
          <t>CRITICAL</t>
        </is>
      </c>
    </row>
    <row r="10">
      <c r="A10" s="7" t="inlineStr">
        <is>
          <t>2026-M09</t>
        </is>
      </c>
      <c r="B10" s="7" t="inlineStr">
        <is>
          <t>2026-10-04 18:52:19</t>
        </is>
      </c>
      <c r="C10" s="7" t="inlineStr">
        <is>
          <t>UM-AI-04</t>
        </is>
      </c>
      <c r="D10" s="13" t="n">
        <v>12000000</v>
      </c>
      <c r="E10" s="13" t="n">
        <v>9000000</v>
      </c>
      <c r="F10" s="13" t="n">
        <v>9300000</v>
      </c>
      <c r="G10" s="13" t="n">
        <v>8800000</v>
      </c>
      <c r="H10" s="23" t="n">
        <v>1.06</v>
      </c>
      <c r="I10" s="23" t="n">
        <v>1.03</v>
      </c>
      <c r="J10" s="13" t="n">
        <v>11320754.72</v>
      </c>
      <c r="K10" s="13" t="n">
        <v>11272980.4</v>
      </c>
      <c r="L10" s="13" t="n">
        <v>11361669.83</v>
      </c>
      <c r="M10" s="13" t="n">
        <v>679245.28</v>
      </c>
      <c r="N10" s="23" t="n">
        <v>0.84</v>
      </c>
      <c r="O10" s="6" t="inlineStr">
        <is>
          <t>ON TRACK</t>
        </is>
      </c>
    </row>
    <row r="11">
      <c r="A11" s="7" t="inlineStr">
        <is>
          <t>2026-M09</t>
        </is>
      </c>
      <c r="B11" s="7" t="inlineStr">
        <is>
          <t>2026-10-04 18:52:19</t>
        </is>
      </c>
      <c r="C11" s="7" t="inlineStr">
        <is>
          <t>UM-HEALTH-05</t>
        </is>
      </c>
      <c r="D11" s="13" t="n">
        <v>15000000</v>
      </c>
      <c r="E11" s="13" t="n">
        <v>11250000</v>
      </c>
      <c r="F11" s="13" t="n">
        <v>10200000</v>
      </c>
      <c r="G11" s="13" t="n">
        <v>11600000</v>
      </c>
      <c r="H11" s="23" t="n">
        <v>0.88</v>
      </c>
      <c r="I11" s="23" t="n">
        <v>0.91</v>
      </c>
      <c r="J11" s="13" t="n">
        <v>17045454.55</v>
      </c>
      <c r="K11" s="13" t="n">
        <v>17594005.99</v>
      </c>
      <c r="L11" s="13" t="n">
        <v>17017607.22</v>
      </c>
      <c r="M11" s="13" t="n">
        <v>-2045454.55</v>
      </c>
      <c r="N11" s="23" t="n">
        <v>1.41</v>
      </c>
      <c r="O11" s="6" t="inlineStr">
        <is>
          <t>CRITICAL</t>
        </is>
      </c>
    </row>
    <row r="12">
      <c r="A12" s="7" t="inlineStr">
        <is>
          <t>2026-M10</t>
        </is>
      </c>
      <c r="B12" s="7" t="inlineStr">
        <is>
          <t>2026-10-04 19:07:19</t>
        </is>
      </c>
      <c r="C12" s="7" t="inlineStr">
        <is>
          <t>UM-DEF-02</t>
        </is>
      </c>
      <c r="D12" s="13" t="n">
        <v>18500000</v>
      </c>
      <c r="E12" s="13" t="n">
        <v>12000000</v>
      </c>
      <c r="F12" s="13" t="n">
        <v>12200000</v>
      </c>
      <c r="G12" s="13" t="n">
        <v>11800000</v>
      </c>
      <c r="H12" s="23" t="n">
        <v>1.03</v>
      </c>
      <c r="I12" s="23" t="n">
        <v>1.02</v>
      </c>
      <c r="J12" s="13" t="n">
        <v>17961165.05</v>
      </c>
      <c r="K12" s="13" t="n">
        <v>17796573.39</v>
      </c>
      <c r="L12" s="13" t="n">
        <v>17928404.67</v>
      </c>
      <c r="M12" s="13" t="n">
        <v>538834.95</v>
      </c>
      <c r="N12" s="23" t="n">
        <v>0.9399999999999999</v>
      </c>
      <c r="O12" s="6" t="inlineStr">
        <is>
          <t>ON TRACK</t>
        </is>
      </c>
    </row>
    <row r="13">
      <c r="A13" s="7" t="inlineStr">
        <is>
          <t>2026-M10</t>
        </is>
      </c>
      <c r="B13" s="7" t="inlineStr">
        <is>
          <t>2026-10-04 19:07:19</t>
        </is>
      </c>
      <c r="C13" s="7" t="inlineStr">
        <is>
          <t>UM-ENG-03</t>
        </is>
      </c>
      <c r="D13" s="13" t="n">
        <v>8200000</v>
      </c>
      <c r="E13" s="13" t="n">
        <v>6500000</v>
      </c>
      <c r="F13" s="13" t="n">
        <v>5200000</v>
      </c>
      <c r="G13" s="13" t="n">
        <v>6800000</v>
      </c>
      <c r="H13" s="23" t="n">
        <v>0.76</v>
      </c>
      <c r="I13" s="23" t="n">
        <v>0.8</v>
      </c>
      <c r="J13" s="13" t="n">
        <v>10789473.68</v>
      </c>
      <c r="K13" s="13" t="n">
        <v>11734210.53</v>
      </c>
      <c r="L13" s="13" t="n">
        <v>10706250</v>
      </c>
      <c r="M13" s="13" t="n">
        <v>-2589473.68</v>
      </c>
      <c r="N13" s="23" t="n">
        <v>2.14</v>
      </c>
      <c r="O13" s="6" t="inlineStr">
        <is>
          <t>CRITICAL</t>
        </is>
      </c>
    </row>
    <row r="14">
      <c r="A14" s="7" t="inlineStr">
        <is>
          <t>2026-M10</t>
        </is>
      </c>
      <c r="B14" s="7" t="inlineStr">
        <is>
          <t>2026-10-04 19:07:19</t>
        </is>
      </c>
      <c r="C14" s="7" t="inlineStr">
        <is>
          <t>UM-FPV-01</t>
        </is>
      </c>
      <c r="D14" s="13" t="n">
        <v>45000000</v>
      </c>
      <c r="E14" s="13" t="n">
        <v>22500000</v>
      </c>
      <c r="F14" s="13" t="n">
        <v>21000000</v>
      </c>
      <c r="G14" s="13" t="n">
        <v>23100000</v>
      </c>
      <c r="H14" s="23" t="n">
        <v>0.91</v>
      </c>
      <c r="I14" s="23" t="n">
        <v>0.93</v>
      </c>
      <c r="J14" s="13" t="n">
        <v>49450549.45</v>
      </c>
      <c r="K14" s="13" t="n">
        <v>51458738.04</v>
      </c>
      <c r="L14" s="13" t="n">
        <v>49358205.69</v>
      </c>
      <c r="M14" s="13" t="n">
        <v>-4450549.45</v>
      </c>
      <c r="N14" s="23" t="n">
        <v>1.1</v>
      </c>
      <c r="O1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3" customWidth="1" min="3" max="3"/>
    <col width="21" customWidth="1" min="4" max="4"/>
    <col width="12" customWidth="1" min="5" max="5"/>
    <col width="16" customWidth="1" min="6" max="6"/>
    <col width="22" customWidth="1" min="7" max="7"/>
    <col width="73" customWidth="1" min="8" max="8"/>
    <col width="76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22" customWidth="1" min="4" max="4"/>
    <col width="25" customWidth="1" min="5" max="5"/>
    <col width="21" customWidth="1" min="6" max="6"/>
    <col width="24" customWidth="1" min="7" max="7"/>
  </cols>
  <sheetData>
    <row r="1">
      <c r="A1" s="4" t="inlineStr">
        <is>
          <t>Prosjekt_ID</t>
        </is>
      </c>
      <c r="B1" s="4" t="inlineStr">
        <is>
          <t>Prosjektnavn</t>
        </is>
      </c>
      <c r="C1" s="4" t="inlineStr">
        <is>
          <t>Finansieringskilde</t>
        </is>
      </c>
      <c r="D1" s="4" t="inlineStr">
        <is>
          <t>Totalbudsjett_NOK</t>
        </is>
      </c>
      <c r="E1" s="4" t="inlineStr">
        <is>
          <t>Direkte_Kostnader_NOK</t>
        </is>
      </c>
      <c r="F1" s="4" t="inlineStr">
        <is>
          <t>Overhead_TDI_NOK</t>
        </is>
      </c>
      <c r="G1" s="4" t="inlineStr">
        <is>
          <t>Dekningsgrad_Prosent</t>
        </is>
      </c>
    </row>
    <row r="2">
      <c r="A2" s="6" t="inlineStr">
        <is>
          <t>BOA-2026-01</t>
        </is>
      </c>
      <c r="B2" s="6" t="inlineStr">
        <is>
          <t>NFR Maritim AI</t>
        </is>
      </c>
      <c r="C2" s="6" t="inlineStr">
        <is>
          <t>NFR</t>
        </is>
      </c>
      <c r="D2" s="13" t="n">
        <v>15000000</v>
      </c>
      <c r="E2" s="13" t="n">
        <v>10344828</v>
      </c>
      <c r="F2" s="13" t="n">
        <v>4655172</v>
      </c>
      <c r="G2" s="71" t="n">
        <v>0.45</v>
      </c>
    </row>
    <row r="3">
      <c r="A3" s="6" t="inlineStr">
        <is>
          <t>BOA-2026-02</t>
        </is>
      </c>
      <c r="B3" s="6" t="inlineStr">
        <is>
          <t>EU Horizon Green Energy</t>
        </is>
      </c>
      <c r="C3" s="6" t="inlineStr">
        <is>
          <t>EU Horizon</t>
        </is>
      </c>
      <c r="D3" s="13" t="n">
        <v>25000000</v>
      </c>
      <c r="E3" s="13" t="n">
        <v>17241379</v>
      </c>
      <c r="F3" s="13" t="n">
        <v>7758621</v>
      </c>
      <c r="G3" s="71" t="n">
        <v>0.45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32" customWidth="1" min="4" max="4"/>
  </cols>
  <sheetData>
    <row r="1">
      <c r="A1" s="4" t="inlineStr">
        <is>
          <t>Konto</t>
        </is>
      </c>
      <c r="B1" s="4" t="inlineStr">
        <is>
          <t>Kontonavn</t>
        </is>
      </c>
      <c r="C1" s="4" t="inlineStr">
        <is>
          <t>Kontoklasse</t>
        </is>
      </c>
      <c r="D1" s="4" t="inlineStr">
        <is>
          <t>Standard_SRS</t>
        </is>
      </c>
    </row>
    <row r="2">
      <c r="A2" s="33" t="n">
        <v>3400</v>
      </c>
      <c r="B2" s="33" t="inlineStr">
        <is>
          <t>Statlig Bevilgning Kap 260 post 50</t>
        </is>
      </c>
      <c r="C2" s="6" t="n">
        <v>3</v>
      </c>
      <c r="D2" s="6" t="inlineStr">
        <is>
          <t>SRS 10 Inntekter</t>
        </is>
      </c>
    </row>
    <row r="3">
      <c r="A3" s="33" t="n">
        <v>5000</v>
      </c>
      <c r="B3" s="33" t="inlineStr">
        <is>
          <t>Fast Lønn &amp; Faste Tillegg</t>
        </is>
      </c>
      <c r="C3" s="6" t="n">
        <v>5</v>
      </c>
      <c r="D3" s="6" t="inlineStr">
        <is>
          <t>SRS 20 Lønnskostnader</t>
        </is>
      </c>
    </row>
    <row r="4">
      <c r="A4" s="33" t="n">
        <v>6000</v>
      </c>
      <c r="B4" s="33" t="inlineStr">
        <is>
          <t>Husleie og Eiendomsdrift</t>
        </is>
      </c>
      <c r="C4" s="6" t="n">
        <v>6</v>
      </c>
      <c r="D4" s="6" t="inlineStr">
        <is>
          <t>SRS 21 Andre driftskostnader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2026-10-04T17:07:19Z</dcterms:created>
  <dcterms:modified xmlns:dcterms="http://purl.org/dc/terms/" xmlns:xsi="http://www.w3.org/2001/XMLSchema-instance" xsi:type="dcterms:W3CDTF">2026-10-04T17:07:19Z</dcterms:modified>
</cp:coreProperties>
</file>