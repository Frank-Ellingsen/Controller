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G3" headerRowCount="1">
  <autoFilter ref="A1:G3"/>
  <tableColumns count="7">
    <tableColumn id="1" name="Prosjekt_ID"/>
    <tableColumn id="2" name="Prosjektnavn"/>
    <tableColumn id="3" name="Finansieringskilde"/>
    <tableColumn id="4" name="Totalbudsjett_NOK"/>
    <tableColumn id="5" name="Direkte_Kostnader_NOK"/>
    <tableColumn id="6" name="Overhead_TDI_NOK"/>
    <tableColumn id="7" name="Dekningsgrad_Prosent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D4" headerRowCount="1">
  <autoFilter ref="A1:D4"/>
  <tableColumns count="4">
    <tableColumn id="1" name="Konto"/>
    <tableColumn id="2" name="Kontonavn"/>
    <tableColumn id="3" name="Kontoklasse"/>
    <tableColumn id="4" name="Standard_SRS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19:59:46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19:59:46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19:59:46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TX-TEST-901</t>
        </is>
      </c>
      <c r="B94" s="7" t="inlineStr">
        <is>
          <t>5000</t>
        </is>
      </c>
      <c r="C94" s="6" t="inlineStr">
        <is>
          <t>Oktober Lønnskjøring</t>
        </is>
      </c>
      <c r="D94" s="34" t="n">
        <v>45000</v>
      </c>
      <c r="E94" s="7" t="inlineStr">
        <is>
          <t>EMP-102</t>
        </is>
      </c>
      <c r="F94" s="7" t="inlineStr">
        <is>
          <t>EMP-201</t>
        </is>
      </c>
      <c r="G94" s="66" t="n">
        <v>1</v>
      </c>
      <c r="H94" s="6" t="inlineStr">
        <is>
          <t>Lønn oktober</t>
        </is>
      </c>
      <c r="I94" s="6">
        <f>IF(E94=F94, "BRUDD: Egengodkjenning", IF(G94=0, "MANGLER BILAG", "OK"))</f>
        <v/>
      </c>
    </row>
    <row r="95">
      <c r="A95" s="7" t="inlineStr">
        <is>
          <t>TX-TEST-902</t>
        </is>
      </c>
      <c r="B95" s="7" t="inlineStr">
        <is>
          <t>6800</t>
        </is>
      </c>
      <c r="C95" s="6" t="inlineStr">
        <is>
          <t>Fagbøker</t>
        </is>
      </c>
      <c r="D95" s="34" t="n">
        <v>3200</v>
      </c>
      <c r="E95" s="7" t="inlineStr">
        <is>
          <t>EMP-102</t>
        </is>
      </c>
      <c r="F95" s="7" t="inlineStr">
        <is>
          <t>EMP-202</t>
        </is>
      </c>
      <c r="G95" s="66" t="n">
        <v>1</v>
      </c>
      <c r="H95" s="6" t="inlineStr">
        <is>
          <t>Pensum</t>
        </is>
      </c>
      <c r="I95" s="6">
        <f>IF(E95=F95, "BRUDD: Egengodkjenning", IF(G95=0, "MANGLER BILAG", "OK"))</f>
        <v/>
      </c>
    </row>
    <row r="96">
      <c r="A96" s="7" t="inlineStr">
        <is>
          <t>TX-10001</t>
        </is>
      </c>
      <c r="B96" s="7" t="inlineStr">
        <is>
          <t>5000</t>
        </is>
      </c>
      <c r="C96" s="6" t="inlineStr">
        <is>
          <t>Fast Lønn - Okt 2026 (Fellesadministrasjon)</t>
        </is>
      </c>
      <c r="D96" s="34" t="n">
        <v>43007.11</v>
      </c>
      <c r="E96" s="7" t="inlineStr">
        <is>
          <t>EMP-101</t>
        </is>
      </c>
      <c r="F96" s="7" t="inlineStr">
        <is>
          <t>EMP-104</t>
        </is>
      </c>
      <c r="G96" s="66" t="n">
        <v>1</v>
      </c>
      <c r="H96" s="6" t="inlineStr">
        <is>
          <t>Fast Lønn - Okt 2026 (Fellesadministrasjon)</t>
        </is>
      </c>
      <c r="I96" s="6">
        <f>IF(E96=F96, "BRUDD: Egengodkjenning", IF(G96=0, "MANGLER BILAG", "OK"))</f>
        <v/>
      </c>
    </row>
    <row r="97">
      <c r="A97" s="7" t="inlineStr">
        <is>
          <t>TX-10002</t>
        </is>
      </c>
      <c r="B97" s="7" t="inlineStr">
        <is>
          <t>7150</t>
        </is>
      </c>
      <c r="C97" s="6" t="inlineStr">
        <is>
          <t>Utenlandsreise fagkonferanse - Okt 2026 (Helse- og Idrettsvitenskap)</t>
        </is>
      </c>
      <c r="D97" s="34" t="n">
        <v>19919.01</v>
      </c>
      <c r="E97" s="7" t="inlineStr">
        <is>
          <t>EMP-104</t>
        </is>
      </c>
      <c r="F97" s="7" t="inlineStr">
        <is>
          <t>EMP-112</t>
        </is>
      </c>
      <c r="G97" s="66" t="n">
        <v>1</v>
      </c>
      <c r="H97" s="6" t="inlineStr">
        <is>
          <t>Utenlandsreise fagkonferanse - Okt 2026 (Helse- og Idrettsvitenskap)</t>
        </is>
      </c>
      <c r="I97" s="6">
        <f>IF(E97=F97, "BRUDD: Egengodkjenning", IF(G97=0, "MANGLER BILAG", "OK"))</f>
        <v/>
      </c>
    </row>
    <row r="98">
      <c r="A98" s="7" t="inlineStr">
        <is>
          <t>TX-10003</t>
        </is>
      </c>
      <c r="B98" s="7" t="inlineStr">
        <is>
          <t>7100</t>
        </is>
      </c>
      <c r="C98" s="6" t="inlineStr">
        <is>
          <t>Bilgodtgjørelse feltarbeid - Okt 2026 (Helse- og Idrettsvitenskap)</t>
        </is>
      </c>
      <c r="D98" s="34" t="n">
        <v>650.05</v>
      </c>
      <c r="E98" s="7" t="inlineStr">
        <is>
          <t>EMP-102</t>
        </is>
      </c>
      <c r="F98" s="7" t="inlineStr">
        <is>
          <t>EMP-119</t>
        </is>
      </c>
      <c r="G98" s="66" t="n">
        <v>1</v>
      </c>
      <c r="H98" s="6" t="inlineStr">
        <is>
          <t>Bilgodtgjørelse feltarbeid - Okt 2026 (Helse- og Idrettsvitenskap)</t>
        </is>
      </c>
      <c r="I98" s="6">
        <f>IF(E98=F98, "BRUDD: Egengodkjenning", IF(G98=0, "MANGLER BILAG", "OK"))</f>
        <v/>
      </c>
    </row>
    <row r="99">
      <c r="A99" s="7" t="inlineStr">
        <is>
          <t>TX-10004</t>
        </is>
      </c>
      <c r="B99" s="7" t="inlineStr">
        <is>
          <t>5330</t>
        </is>
      </c>
      <c r="C99" s="6" t="inlineStr">
        <is>
          <t>Sensorhonorarer - Okt 2026 (Handelshøyskolen)</t>
        </is>
      </c>
      <c r="D99" s="34" t="n">
        <v>9018.83</v>
      </c>
      <c r="E99" s="7" t="inlineStr">
        <is>
          <t>EMP-119</t>
        </is>
      </c>
      <c r="F99" s="7" t="inlineStr">
        <is>
          <t>EMP-104</t>
        </is>
      </c>
      <c r="G99" s="66" t="n">
        <v>1</v>
      </c>
      <c r="H99" s="6" t="inlineStr">
        <is>
          <t>Sensorhonorarer - Okt 2026 (Handelshøyskolen)</t>
        </is>
      </c>
      <c r="I99" s="6">
        <f>IF(E99=F99, "BRUDD: Egengodkjenning", IF(G99=0, "MANGLER BILAG", "OK"))</f>
        <v/>
      </c>
    </row>
    <row r="100">
      <c r="A100" s="67" t="inlineStr">
        <is>
          <t>TX-10005</t>
        </is>
      </c>
      <c r="B100" s="67" t="inlineStr">
        <is>
          <t>7130</t>
        </is>
      </c>
      <c r="C100" s="19" t="inlineStr">
        <is>
          <t>Reiseregning fagsamling - Okt 2026 (Fellesadministrasjon)</t>
        </is>
      </c>
      <c r="D100" s="72" t="n">
        <v>2981.89</v>
      </c>
      <c r="E100" s="67" t="inlineStr">
        <is>
          <t>EMP-111</t>
        </is>
      </c>
      <c r="F100" s="67" t="inlineStr">
        <is>
          <t>EMP-111</t>
        </is>
      </c>
      <c r="G100" s="69" t="n">
        <v>1</v>
      </c>
      <c r="H100" s="19" t="inlineStr">
        <is>
          <t>Reiseregning fagsamling - Okt 2026 (Fellesadministrasjon)</t>
        </is>
      </c>
      <c r="I100" s="18">
        <f>IF(E100=F100, "BRUDD: Egengodkjenning", IF(G100=0, "MANGLER BILAG", "OK"))</f>
        <v/>
      </c>
    </row>
    <row r="101">
      <c r="A101" s="7" t="inlineStr">
        <is>
          <t>TX-10006</t>
        </is>
      </c>
      <c r="B101" s="7" t="inlineStr">
        <is>
          <t>7100</t>
        </is>
      </c>
      <c r="C101" s="6" t="inlineStr">
        <is>
          <t>Bilgodtgjørelse feltarbeid - Okt 2026 (Fellesadministrasjon)</t>
        </is>
      </c>
      <c r="D101" s="34" t="n">
        <v>8478.65</v>
      </c>
      <c r="E101" s="7" t="inlineStr">
        <is>
          <t>EMP-116</t>
        </is>
      </c>
      <c r="F101" s="7" t="inlineStr">
        <is>
          <t>EMP-114</t>
        </is>
      </c>
      <c r="G101" s="66" t="n">
        <v>1</v>
      </c>
      <c r="H101" s="6" t="inlineStr">
        <is>
          <t>Bilgodtgjørelse feltarbeid - Okt 2026 (Fellesadministrasjon)</t>
        </is>
      </c>
      <c r="I101" s="6">
        <f>IF(E101=F101, "BRUDD: Egengodkjenning", IF(G101=0, "MANGLER BILAG", "OK"))</f>
        <v/>
      </c>
    </row>
    <row r="102">
      <c r="A102" s="7" t="inlineStr">
        <is>
          <t>TX-10007</t>
        </is>
      </c>
      <c r="B102" s="7" t="inlineStr">
        <is>
          <t>3400</t>
        </is>
      </c>
      <c r="C102" s="6" t="inlineStr">
        <is>
          <t>Oppdragsinntekter BOA - Okt 2026 (Helse- og Idrettsvitenskap)</t>
        </is>
      </c>
      <c r="D102" s="34" t="n">
        <v>-83694.07000000001</v>
      </c>
      <c r="E102" s="7" t="inlineStr">
        <is>
          <t>EMP-118</t>
        </is>
      </c>
      <c r="F102" s="7" t="inlineStr">
        <is>
          <t>EMP-102</t>
        </is>
      </c>
      <c r="G102" s="66" t="n">
        <v>1</v>
      </c>
      <c r="H102" s="6" t="inlineStr">
        <is>
          <t>Oppdragsinntekter BOA - Okt 2026 (Helse- og Idrettsvitenskap)</t>
        </is>
      </c>
      <c r="I102" s="6">
        <f>IF(E102=F102, "BRUDD: Egengodkjenning", IF(G102=0, "MANGLER BILAG", "OK"))</f>
        <v/>
      </c>
    </row>
    <row r="103">
      <c r="A103" s="7" t="inlineStr">
        <is>
          <t>TX-10008</t>
        </is>
      </c>
      <c r="B103" s="7" t="inlineStr">
        <is>
          <t>7100</t>
        </is>
      </c>
      <c r="C103" s="6" t="inlineStr">
        <is>
          <t>Bilgodtgjørelse feltarbeid - Okt 2026 (Helse- og Idrettsvitenskap)</t>
        </is>
      </c>
      <c r="D103" s="34" t="n">
        <v>22018.3</v>
      </c>
      <c r="E103" s="7" t="inlineStr">
        <is>
          <t>EMP-119</t>
        </is>
      </c>
      <c r="F103" s="7" t="inlineStr">
        <is>
          <t>EMP-106</t>
        </is>
      </c>
      <c r="G103" s="66" t="n">
        <v>1</v>
      </c>
      <c r="H103" s="6" t="inlineStr">
        <is>
          <t>Bilgodtgjørelse feltarbeid - Okt 2026 (Helse- og Idrettsvitenskap)</t>
        </is>
      </c>
      <c r="I103" s="6">
        <f>IF(E103=F103, "BRUDD: Egengodkjenning", IF(G103=0, "MANGLER BILAG", "OK"))</f>
        <v/>
      </c>
    </row>
    <row r="104">
      <c r="A104" s="7" t="inlineStr">
        <is>
          <t>TX-10009</t>
        </is>
      </c>
      <c r="B104" s="7" t="inlineStr">
        <is>
          <t>7130</t>
        </is>
      </c>
      <c r="C104" s="6" t="inlineStr">
        <is>
          <t>Reiseregning fagsamling - Okt 2026 (Handelshøyskolen)</t>
        </is>
      </c>
      <c r="D104" s="34" t="n">
        <v>2648.57</v>
      </c>
      <c r="E104" s="7" t="inlineStr">
        <is>
          <t>EMP-106</t>
        </is>
      </c>
      <c r="F104" s="7" t="inlineStr">
        <is>
          <t>EMP-118</t>
        </is>
      </c>
      <c r="G104" s="66" t="n">
        <v>1</v>
      </c>
      <c r="H104" s="6" t="inlineStr">
        <is>
          <t>Reiseregning fagsamling - Okt 2026 (Handelshøyskolen)</t>
        </is>
      </c>
      <c r="I104" s="6">
        <f>IF(E104=F104, "BRUDD: Egengodkjenning", IF(G104=0, "MANGLER BILAG", "OK"))</f>
        <v/>
      </c>
    </row>
    <row r="105">
      <c r="A105" s="7" t="inlineStr">
        <is>
          <t>TX-10010</t>
        </is>
      </c>
      <c r="B105" s="7" t="inlineStr">
        <is>
          <t>5330</t>
        </is>
      </c>
      <c r="C105" s="6" t="inlineStr">
        <is>
          <t>Sensorhonorarer - Okt 2026 (Fellesadministrasjon)</t>
        </is>
      </c>
      <c r="D105" s="34" t="n">
        <v>12378.86</v>
      </c>
      <c r="E105" s="7" t="inlineStr">
        <is>
          <t>EMP-111</t>
        </is>
      </c>
      <c r="F105" s="7" t="inlineStr">
        <is>
          <t>EMP-115</t>
        </is>
      </c>
      <c r="G105" s="66" t="n">
        <v>1</v>
      </c>
      <c r="H105" s="6" t="inlineStr">
        <is>
          <t>Sensorhonorarer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TX-10011</t>
        </is>
      </c>
      <c r="B106" s="7" t="inlineStr">
        <is>
          <t>5000</t>
        </is>
      </c>
      <c r="C106" s="6" t="inlineStr">
        <is>
          <t>Fast Lønn - Okt 2026 (Fellesadministrasjon)</t>
        </is>
      </c>
      <c r="D106" s="34" t="n">
        <v>56268.31</v>
      </c>
      <c r="E106" s="7" t="inlineStr">
        <is>
          <t>EMP-103</t>
        </is>
      </c>
      <c r="F106" s="7" t="inlineStr">
        <is>
          <t>EMP-104</t>
        </is>
      </c>
      <c r="G106" s="66" t="n">
        <v>1</v>
      </c>
      <c r="H106" s="6" t="inlineStr">
        <is>
          <t>Fast Lønn - Okt 2026 (Fellesadministrasjon)</t>
        </is>
      </c>
      <c r="I106" s="6">
        <f>IF(E106=F106, "BRUDD: Egengodkjenning", IF(G106=0, "MANGLER BILAG", "OK"))</f>
        <v/>
      </c>
    </row>
    <row r="107">
      <c r="A107" s="7" t="inlineStr">
        <is>
          <t>TX-10012</t>
        </is>
      </c>
      <c r="B107" s="7" t="inlineStr">
        <is>
          <t>6800</t>
        </is>
      </c>
      <c r="C107" s="6" t="inlineStr">
        <is>
          <t>Kontorrekvisita - Okt 2026 (Fellesadministrasjon)</t>
        </is>
      </c>
      <c r="D107" s="34" t="n">
        <v>7736.96</v>
      </c>
      <c r="E107" s="7" t="inlineStr">
        <is>
          <t>EMP-113</t>
        </is>
      </c>
      <c r="F107" s="7" t="inlineStr">
        <is>
          <t>EMP-101</t>
        </is>
      </c>
      <c r="G107" s="66" t="n">
        <v>1</v>
      </c>
      <c r="H107" s="6" t="inlineStr">
        <is>
          <t>Kontorrekvisita - Okt 2026 (Fellesadministrasjon)</t>
        </is>
      </c>
      <c r="I107" s="6">
        <f>IF(E107=F107, "BRUDD: Egengodkjenning", IF(G107=0, "MANGLER BILAG", "OK"))</f>
        <v/>
      </c>
    </row>
    <row r="108">
      <c r="A108" s="7" t="inlineStr">
        <is>
          <t>TX-10013</t>
        </is>
      </c>
      <c r="B108" s="7" t="inlineStr">
        <is>
          <t>5000</t>
        </is>
      </c>
      <c r="C108" s="6" t="inlineStr">
        <is>
          <t>Fast Lønn - Okt 2026 (Handelshøyskolen)</t>
        </is>
      </c>
      <c r="D108" s="34" t="n">
        <v>63243.06</v>
      </c>
      <c r="E108" s="7" t="inlineStr">
        <is>
          <t>EMP-107</t>
        </is>
      </c>
      <c r="F108" s="7" t="inlineStr">
        <is>
          <t>EMP-106</t>
        </is>
      </c>
      <c r="G108" s="66" t="n">
        <v>1</v>
      </c>
      <c r="H108" s="6" t="inlineStr">
        <is>
          <t>Fast Lønn - Okt 2026 (Handelshøyskolen)</t>
        </is>
      </c>
      <c r="I108" s="6">
        <f>IF(E108=F108, "BRUDD: Egengodkjenning", IF(G108=0, "MANGLER BILAG", "OK"))</f>
        <v/>
      </c>
    </row>
    <row r="109">
      <c r="A109" s="7" t="inlineStr">
        <is>
          <t>TX-10014</t>
        </is>
      </c>
      <c r="B109" s="7" t="inlineStr">
        <is>
          <t>7130</t>
        </is>
      </c>
      <c r="C109" s="6" t="inlineStr">
        <is>
          <t>Reiseregning fagsamling - Okt 2026 (Helse- og Idrettsvitenskap)</t>
        </is>
      </c>
      <c r="D109" s="34" t="n">
        <v>14482.34</v>
      </c>
      <c r="E109" s="7" t="inlineStr">
        <is>
          <t>EMP-104</t>
        </is>
      </c>
      <c r="F109" s="7" t="inlineStr">
        <is>
          <t>EMP-101</t>
        </is>
      </c>
      <c r="G109" s="66" t="n">
        <v>1</v>
      </c>
      <c r="H109" s="6" t="inlineStr">
        <is>
          <t>Reiseregning fagsamling - Okt 2026 (Helse- og Idrettsvitenskap)</t>
        </is>
      </c>
      <c r="I109" s="6">
        <f>IF(E109=F109, "BRUDD: Egengodkjenning", IF(G109=0, "MANGLER BILAG", "OK"))</f>
        <v/>
      </c>
    </row>
    <row r="110">
      <c r="A110" s="7" t="inlineStr">
        <is>
          <t>TX-10015</t>
        </is>
      </c>
      <c r="B110" s="7" t="inlineStr">
        <is>
          <t>6800</t>
        </is>
      </c>
      <c r="C110" s="6" t="inlineStr">
        <is>
          <t>Kontorrekvisita - Okt 2026 (Handelshøyskolen)</t>
        </is>
      </c>
      <c r="D110" s="34" t="n">
        <v>15694.76</v>
      </c>
      <c r="E110" s="7" t="inlineStr">
        <is>
          <t>EMP-106</t>
        </is>
      </c>
      <c r="F110" s="7" t="inlineStr">
        <is>
          <t>EMP-117</t>
        </is>
      </c>
      <c r="G110" s="66" t="n">
        <v>1</v>
      </c>
      <c r="H110" s="6" t="inlineStr">
        <is>
          <t>Kontorrekvisita - Okt 2026 (Handelshøyskolen)</t>
        </is>
      </c>
      <c r="I110" s="6">
        <f>IF(E110=F110, "BRUDD: Egengodkjenning", IF(G110=0, "MANGLER BILAG", "OK"))</f>
        <v/>
      </c>
    </row>
    <row r="111">
      <c r="A111" s="67" t="inlineStr">
        <is>
          <t>TX-10016</t>
        </is>
      </c>
      <c r="B111" s="67" t="inlineStr">
        <is>
          <t>5000</t>
        </is>
      </c>
      <c r="C111" s="19" t="inlineStr">
        <is>
          <t>Fast Lønn - Okt 2026 (Handelshøyskolen)</t>
        </is>
      </c>
      <c r="D111" s="72" t="n">
        <v>63962.81</v>
      </c>
      <c r="E111" s="67" t="inlineStr">
        <is>
          <t>EMP-109</t>
        </is>
      </c>
      <c r="F111" s="67" t="inlineStr">
        <is>
          <t>EMP-109</t>
        </is>
      </c>
      <c r="G111" s="69" t="n">
        <v>1</v>
      </c>
      <c r="H111" s="19" t="inlineStr">
        <is>
          <t>Fast Lønn - Okt 2026 (Handelshøyskolen)</t>
        </is>
      </c>
      <c r="I111" s="18">
        <f>IF(E111=F111, "BRUDD: Egengodkjenning", IF(G111=0, "MANGLER BILAG", "OK"))</f>
        <v/>
      </c>
    </row>
    <row r="112">
      <c r="A112" s="7" t="inlineStr">
        <is>
          <t>TX-10017</t>
        </is>
      </c>
      <c r="B112" s="7" t="inlineStr">
        <is>
          <t>7100</t>
        </is>
      </c>
      <c r="C112" s="6" t="inlineStr">
        <is>
          <t>Bilgodtgjørelse feltarbeid - Okt 2026 (Fellesadministrasjon)</t>
        </is>
      </c>
      <c r="D112" s="34" t="n">
        <v>23100.56</v>
      </c>
      <c r="E112" s="7" t="inlineStr">
        <is>
          <t>EMP-114</t>
        </is>
      </c>
      <c r="F112" s="7" t="inlineStr">
        <is>
          <t>EMP-112</t>
        </is>
      </c>
      <c r="G112" s="66" t="n">
        <v>1</v>
      </c>
      <c r="H112" s="6" t="inlineStr">
        <is>
          <t>Bilgodtgjørelse feltarbeid - Okt 2026 (Fellesadministrasjon)</t>
        </is>
      </c>
      <c r="I112" s="6">
        <f>IF(E112=F112, "BRUDD: Egengodkjenning", IF(G112=0, "MANGLER BILAG", "OK"))</f>
        <v/>
      </c>
    </row>
    <row r="113">
      <c r="A113" s="7" t="inlineStr">
        <is>
          <t>TX-10018</t>
        </is>
      </c>
      <c r="B113" s="7" t="inlineStr">
        <is>
          <t>5000</t>
        </is>
      </c>
      <c r="C113" s="6" t="inlineStr">
        <is>
          <t>Fast Lønn - Okt 2026 (Fellesadministrasjon)</t>
        </is>
      </c>
      <c r="D113" s="34" t="n">
        <v>57869.83</v>
      </c>
      <c r="E113" s="7" t="inlineStr">
        <is>
          <t>EMP-108</t>
        </is>
      </c>
      <c r="F113" s="7" t="inlineStr">
        <is>
          <t>EMP-111</t>
        </is>
      </c>
      <c r="G113" s="66" t="n">
        <v>1</v>
      </c>
      <c r="H113" s="6" t="inlineStr">
        <is>
          <t>Fast Lønn - Okt 2026 (Fellesadministrasjon)</t>
        </is>
      </c>
      <c r="I113" s="6">
        <f>IF(E113=F113, "BRUDD: Egengodkjenning", IF(G113=0, "MANGLER BILAG", "OK"))</f>
        <v/>
      </c>
    </row>
    <row r="114">
      <c r="A114" s="7" t="inlineStr">
        <is>
          <t>TX-10019</t>
        </is>
      </c>
      <c r="B114" s="7" t="inlineStr">
        <is>
          <t>7130</t>
        </is>
      </c>
      <c r="C114" s="6" t="inlineStr">
        <is>
          <t>Reiseregning fagsamling - Okt 2026 (Fellesadministrasjon)</t>
        </is>
      </c>
      <c r="D114" s="34" t="n">
        <v>9478.129999999999</v>
      </c>
      <c r="E114" s="7" t="inlineStr">
        <is>
          <t>EMP-112</t>
        </is>
      </c>
      <c r="F114" s="7" t="inlineStr">
        <is>
          <t>EMP-109</t>
        </is>
      </c>
      <c r="G114" s="66" t="n">
        <v>1</v>
      </c>
      <c r="H114" s="6" t="inlineStr">
        <is>
          <t>Reiseregning fagsamling - Okt 2026 (Fellesadministrasjon)</t>
        </is>
      </c>
      <c r="I114" s="6">
        <f>IF(E114=F114, "BRUDD: Egengodkjenning", IF(G114=0, "MANGLER BILAG", "OK"))</f>
        <v/>
      </c>
    </row>
    <row r="115">
      <c r="A115" s="67" t="inlineStr">
        <is>
          <t>TX-10020</t>
        </is>
      </c>
      <c r="B115" s="67" t="inlineStr">
        <is>
          <t>3400</t>
        </is>
      </c>
      <c r="C115" s="19" t="inlineStr">
        <is>
          <t>Oppdragsinntekter BOA - Okt 2026 (Handelshøyskolen)</t>
        </is>
      </c>
      <c r="D115" s="72" t="n">
        <v>-53620.64</v>
      </c>
      <c r="E115" s="67" t="inlineStr">
        <is>
          <t>EMP-105</t>
        </is>
      </c>
      <c r="F115" s="67" t="inlineStr">
        <is>
          <t>EMP-105</t>
        </is>
      </c>
      <c r="G115" s="69" t="n">
        <v>1</v>
      </c>
      <c r="H115" s="19" t="inlineStr">
        <is>
          <t>Oppdragsinntekter BOA - Okt 2026 (Handelshøyskolen)</t>
        </is>
      </c>
      <c r="I115" s="18">
        <f>IF(E115=F115, "BRUDD: Egengodkjenning", IF(G115=0, "MANGLER BILAG", "OK"))</f>
        <v/>
      </c>
    </row>
    <row r="116">
      <c r="A116" s="7" t="inlineStr">
        <is>
          <t>TX-10021</t>
        </is>
      </c>
      <c r="B116" s="7" t="inlineStr">
        <is>
          <t>3400</t>
        </is>
      </c>
      <c r="C116" s="6" t="inlineStr">
        <is>
          <t>Oppdragsinntekter BOA - Okt 2026 (Fellesadministrasjon)</t>
        </is>
      </c>
      <c r="D116" s="34" t="n">
        <v>-53889.89</v>
      </c>
      <c r="E116" s="7" t="inlineStr">
        <is>
          <t>EMP-115</t>
        </is>
      </c>
      <c r="F116" s="7" t="inlineStr">
        <is>
          <t>EMP-110</t>
        </is>
      </c>
      <c r="G116" s="66" t="n">
        <v>1</v>
      </c>
      <c r="H116" s="6" t="inlineStr">
        <is>
          <t>Oppdragsinntekter BOA - Okt 2026 (Fellesadministrasjon)</t>
        </is>
      </c>
      <c r="I116" s="6">
        <f>IF(E116=F116, "BRUDD: Egengodkjenning", IF(G116=0, "MANGLER BILAG", "OK"))</f>
        <v/>
      </c>
    </row>
    <row r="117">
      <c r="A117" s="7" t="inlineStr">
        <is>
          <t>TX-10022</t>
        </is>
      </c>
      <c r="B117" s="7" t="inlineStr">
        <is>
          <t>7130</t>
        </is>
      </c>
      <c r="C117" s="6" t="inlineStr">
        <is>
          <t>Reiseregning fagsamling - Okt 2026 (Helse- og Idrettsvitenskap)</t>
        </is>
      </c>
      <c r="D117" s="34" t="n">
        <v>18667.66</v>
      </c>
      <c r="E117" s="7" t="inlineStr">
        <is>
          <t>EMP-115</t>
        </is>
      </c>
      <c r="F117" s="7" t="inlineStr">
        <is>
          <t>EMP-110</t>
        </is>
      </c>
      <c r="G117" s="66" t="n">
        <v>1</v>
      </c>
      <c r="H117" s="6" t="inlineStr">
        <is>
          <t>Reiseregning fagsamling - Okt 2026 (Helse- og Idrettsvitenskap)</t>
        </is>
      </c>
      <c r="I117" s="6">
        <f>IF(E117=F117, "BRUDD: Egengodkjenning", IF(G117=0, "MANGLER BILAG", "OK"))</f>
        <v/>
      </c>
    </row>
    <row r="118">
      <c r="A118" s="7" t="inlineStr">
        <is>
          <t>TX-10023</t>
        </is>
      </c>
      <c r="B118" s="7" t="inlineStr">
        <is>
          <t>5330</t>
        </is>
      </c>
      <c r="C118" s="6" t="inlineStr">
        <is>
          <t>Sensorhonorarer - Okt 2026 (Teknologi og Realfag)</t>
        </is>
      </c>
      <c r="D118" s="34" t="n">
        <v>17566.2</v>
      </c>
      <c r="E118" s="7" t="inlineStr">
        <is>
          <t>EMP-101</t>
        </is>
      </c>
      <c r="F118" s="7" t="inlineStr">
        <is>
          <t>EMP-107</t>
        </is>
      </c>
      <c r="G118" s="66" t="n">
        <v>1</v>
      </c>
      <c r="H118" s="6" t="inlineStr">
        <is>
          <t>Sensorhonorarer - Okt 2026 (Teknologi og Realfag)</t>
        </is>
      </c>
      <c r="I118" s="6">
        <f>IF(E118=F118, "BRUDD: Egengodkjenning", IF(G118=0, "MANGLER BILAG", "OK"))</f>
        <v/>
      </c>
    </row>
    <row r="119">
      <c r="A119" s="67" t="inlineStr">
        <is>
          <t>TX-10024</t>
        </is>
      </c>
      <c r="B119" s="67" t="inlineStr">
        <is>
          <t>7100</t>
        </is>
      </c>
      <c r="C119" s="19" t="inlineStr">
        <is>
          <t>Bilgodtgjørelse feltarbeid - Okt 2026 (Helse- og Idrettsvitenskap)</t>
        </is>
      </c>
      <c r="D119" s="72" t="n">
        <v>19138.79</v>
      </c>
      <c r="E119" s="67" t="inlineStr">
        <is>
          <t>EMP-107</t>
        </is>
      </c>
      <c r="F119" s="67" t="inlineStr">
        <is>
          <t>EMP-107</t>
        </is>
      </c>
      <c r="G119" s="69" t="n">
        <v>1</v>
      </c>
      <c r="H119" s="19" t="inlineStr">
        <is>
          <t>Bilgodtgjørelse feltarbeid - Okt 2026 (Helse- og Idrettsvitenskap)</t>
        </is>
      </c>
      <c r="I119" s="18">
        <f>IF(E119=F119, "BRUDD: Egengodkjenning", IF(G119=0, "MANGLER BILAG", "OK"))</f>
        <v/>
      </c>
    </row>
    <row r="120">
      <c r="A120" s="67" t="inlineStr">
        <is>
          <t>TX-10025</t>
        </is>
      </c>
      <c r="B120" s="67" t="inlineStr">
        <is>
          <t>7150</t>
        </is>
      </c>
      <c r="C120" s="19" t="inlineStr">
        <is>
          <t>Utenlandsreise fagkonferanse - Okt 2026 (Fellesadministrasjon)</t>
        </is>
      </c>
      <c r="D120" s="72" t="n">
        <v>6928.94</v>
      </c>
      <c r="E120" s="67" t="inlineStr">
        <is>
          <t>EMP-110</t>
        </is>
      </c>
      <c r="F120" s="67" t="inlineStr">
        <is>
          <t>EMP-110</t>
        </is>
      </c>
      <c r="G120" s="69" t="n">
        <v>1</v>
      </c>
      <c r="H120" s="19" t="inlineStr">
        <is>
          <t>Utenlandsreise fagkonferanse - Okt 2026 (Fellesadministrasjon)</t>
        </is>
      </c>
      <c r="I120" s="18">
        <f>IF(E120=F120, "BRUDD: Egengodkjenning", IF(G120=0, "MANGLER BILAG", "OK"))</f>
        <v/>
      </c>
    </row>
    <row r="121">
      <c r="A121" s="7" t="inlineStr">
        <is>
          <t>TX-10026</t>
        </is>
      </c>
      <c r="B121" s="7" t="inlineStr">
        <is>
          <t>7130</t>
        </is>
      </c>
      <c r="C121" s="6" t="inlineStr">
        <is>
          <t>Reiseregning fagsamling - Okt 2026 (Helse- og Idrettsvitenskap)</t>
        </is>
      </c>
      <c r="D121" s="34" t="n">
        <v>8782.6</v>
      </c>
      <c r="E121" s="7" t="inlineStr">
        <is>
          <t>EMP-107</t>
        </is>
      </c>
      <c r="F121" s="7" t="inlineStr">
        <is>
          <t>EMP-102</t>
        </is>
      </c>
      <c r="G121" s="66" t="n">
        <v>1</v>
      </c>
      <c r="H121" s="6" t="inlineStr">
        <is>
          <t>Reiseregning fagsamling - Okt 2026 (Helse- og Idrettsvitenskap)</t>
        </is>
      </c>
      <c r="I121" s="6">
        <f>IF(E121=F121, "BRUDD: Egengodkjenning", IF(G121=0, "MANGLER BILAG", "OK"))</f>
        <v/>
      </c>
    </row>
    <row r="122">
      <c r="A122" s="7" t="inlineStr">
        <is>
          <t>TX-10027</t>
        </is>
      </c>
      <c r="B122" s="7" t="inlineStr">
        <is>
          <t>7150</t>
        </is>
      </c>
      <c r="C122" s="6" t="inlineStr">
        <is>
          <t>Utenlandsreise fagkonferanse - Okt 2026 (Fellesadministrasjon)</t>
        </is>
      </c>
      <c r="D122" s="34" t="n">
        <v>16638.63</v>
      </c>
      <c r="E122" s="7" t="inlineStr">
        <is>
          <t>EMP-104</t>
        </is>
      </c>
      <c r="F122" s="7" t="inlineStr">
        <is>
          <t>EMP-103</t>
        </is>
      </c>
      <c r="G122" s="66" t="n">
        <v>1</v>
      </c>
      <c r="H122" s="6" t="inlineStr">
        <is>
          <t>Utenlandsreise fagkonferanse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TX-10028</t>
        </is>
      </c>
      <c r="B123" s="7" t="inlineStr">
        <is>
          <t>7100</t>
        </is>
      </c>
      <c r="C123" s="6" t="inlineStr">
        <is>
          <t>Bilgodtgjørelse feltarbeid - Okt 2026 (Fellesadministrasjon)</t>
        </is>
      </c>
      <c r="D123" s="34" t="n">
        <v>8786.27</v>
      </c>
      <c r="E123" s="7" t="inlineStr">
        <is>
          <t>EMP-109</t>
        </is>
      </c>
      <c r="F123" s="7" t="inlineStr">
        <is>
          <t>EMP-118</t>
        </is>
      </c>
      <c r="G123" s="66" t="n">
        <v>1</v>
      </c>
      <c r="H123" s="6" t="inlineStr">
        <is>
          <t>Bilgodtgjørelse feltarbeid - Okt 2026 (Fellesadministrasjon)</t>
        </is>
      </c>
      <c r="I123" s="6">
        <f>IF(E123=F123, "BRUDD: Egengodkjenning", IF(G123=0, "MANGLER BILAG", "OK"))</f>
        <v/>
      </c>
    </row>
    <row r="124">
      <c r="A124" s="7" t="inlineStr">
        <is>
          <t>TX-10029</t>
        </is>
      </c>
      <c r="B124" s="7" t="inlineStr">
        <is>
          <t>7100</t>
        </is>
      </c>
      <c r="C124" s="6" t="inlineStr">
        <is>
          <t>Bilgodtgjørelse feltarbeid - Okt 2026 (Fellesadministrasjon)</t>
        </is>
      </c>
      <c r="D124" s="34" t="n">
        <v>23896.9</v>
      </c>
      <c r="E124" s="7" t="inlineStr">
        <is>
          <t>EMP-104</t>
        </is>
      </c>
      <c r="F124" s="7" t="inlineStr">
        <is>
          <t>EMP-114</t>
        </is>
      </c>
      <c r="G124" s="66" t="n">
        <v>1</v>
      </c>
      <c r="H124" s="6" t="inlineStr">
        <is>
          <t>Bilgodtgjørelse feltarbeid - Okt 2026 (Fellesadministrasjon)</t>
        </is>
      </c>
      <c r="I124" s="6">
        <f>IF(E124=F124, "BRUDD: Egengodkjenning", IF(G124=0, "MANGLER BILAG", "OK"))</f>
        <v/>
      </c>
    </row>
    <row r="125">
      <c r="A125" s="7" t="inlineStr">
        <is>
          <t>TX-10030</t>
        </is>
      </c>
      <c r="B125" s="7" t="inlineStr">
        <is>
          <t>5330</t>
        </is>
      </c>
      <c r="C125" s="6" t="inlineStr">
        <is>
          <t>Sensorhonorarer - Okt 2026 (Helse- og Idrettsvitenskap)</t>
        </is>
      </c>
      <c r="D125" s="34" t="n">
        <v>7845.36</v>
      </c>
      <c r="E125" s="7" t="inlineStr">
        <is>
          <t>EMP-101</t>
        </is>
      </c>
      <c r="F125" s="7" t="inlineStr">
        <is>
          <t>EMP-117</t>
        </is>
      </c>
      <c r="G125" s="66" t="n">
        <v>1</v>
      </c>
      <c r="H125" s="6" t="inlineStr">
        <is>
          <t>Sensorhonorarer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TX-10031</t>
        </is>
      </c>
      <c r="B126" s="7" t="inlineStr">
        <is>
          <t>3400</t>
        </is>
      </c>
      <c r="C126" s="6" t="inlineStr">
        <is>
          <t>Oppdragsinntekter BOA - Okt 2026 (Teknologi og Realfag)</t>
        </is>
      </c>
      <c r="D126" s="34" t="n">
        <v>-114969.54</v>
      </c>
      <c r="E126" s="7" t="inlineStr">
        <is>
          <t>EMP-102</t>
        </is>
      </c>
      <c r="F126" s="7" t="inlineStr">
        <is>
          <t>EMP-101</t>
        </is>
      </c>
      <c r="G126" s="66" t="n">
        <v>1</v>
      </c>
      <c r="H126" s="6" t="inlineStr">
        <is>
          <t>Oppdragsinntekter BOA - Okt 2026 (Teknologi og Realfag)</t>
        </is>
      </c>
      <c r="I126" s="6">
        <f>IF(E126=F126, "BRUDD: Egengodkjenning", IF(G126=0, "MANGLER BILAG", "OK"))</f>
        <v/>
      </c>
    </row>
    <row r="127">
      <c r="A127" s="7" t="inlineStr">
        <is>
          <t>TX-10032</t>
        </is>
      </c>
      <c r="B127" s="7" t="inlineStr">
        <is>
          <t>3400</t>
        </is>
      </c>
      <c r="C127" s="6" t="inlineStr">
        <is>
          <t>Oppdragsinntekter BOA - Okt 2026 (Helse- og Idrettsvitenskap)</t>
        </is>
      </c>
      <c r="D127" s="34" t="n">
        <v>-48689.03</v>
      </c>
      <c r="E127" s="7" t="inlineStr">
        <is>
          <t>EMP-102</t>
        </is>
      </c>
      <c r="F127" s="7" t="inlineStr">
        <is>
          <t>EMP-118</t>
        </is>
      </c>
      <c r="G127" s="66" t="n">
        <v>1</v>
      </c>
      <c r="H127" s="6" t="inlineStr">
        <is>
          <t>Oppdragsinntekter BOA - Okt 2026 (Helse- og Idrettsvitenskap)</t>
        </is>
      </c>
      <c r="I127" s="6">
        <f>IF(E127=F127, "BRUDD: Egengodkjenning", IF(G127=0, "MANGLER BILAG", "OK"))</f>
        <v/>
      </c>
    </row>
    <row r="128">
      <c r="A128" s="7" t="inlineStr">
        <is>
          <t>TX-10033</t>
        </is>
      </c>
      <c r="B128" s="7" t="inlineStr">
        <is>
          <t>6800</t>
        </is>
      </c>
      <c r="C128" s="6" t="inlineStr">
        <is>
          <t>Kontorrekvisita - Okt 2026 (Handelshøyskolen)</t>
        </is>
      </c>
      <c r="D128" s="34" t="n">
        <v>1837.32</v>
      </c>
      <c r="E128" s="7" t="inlineStr">
        <is>
          <t>EMP-108</t>
        </is>
      </c>
      <c r="F128" s="7" t="inlineStr">
        <is>
          <t>EMP-116</t>
        </is>
      </c>
      <c r="G128" s="66" t="n">
        <v>1</v>
      </c>
      <c r="H128" s="6" t="inlineStr">
        <is>
          <t>Kontorrekvisita - Okt 2026 (Handelshøyskolen)</t>
        </is>
      </c>
      <c r="I128" s="6">
        <f>IF(E128=F128, "BRUDD: Egengodkjenning", IF(G128=0, "MANGLER BILAG", "OK"))</f>
        <v/>
      </c>
    </row>
    <row r="129">
      <c r="A129" s="7" t="inlineStr">
        <is>
          <t>TX-10034</t>
        </is>
      </c>
      <c r="B129" s="7" t="inlineStr">
        <is>
          <t>5000</t>
        </is>
      </c>
      <c r="C129" s="6" t="inlineStr">
        <is>
          <t>Fast Lønn - Okt 2026 (Teknologi og Realfag)</t>
        </is>
      </c>
      <c r="D129" s="34" t="n">
        <v>44443.72</v>
      </c>
      <c r="E129" s="7" t="inlineStr">
        <is>
          <t>EMP-101</t>
        </is>
      </c>
      <c r="F129" s="7" t="inlineStr">
        <is>
          <t>EMP-113</t>
        </is>
      </c>
      <c r="G129" s="66" t="n">
        <v>1</v>
      </c>
      <c r="H129" s="6" t="inlineStr">
        <is>
          <t>Fast Lønn - Okt 2026 (Teknologi og Realfag)</t>
        </is>
      </c>
      <c r="I129" s="6">
        <f>IF(E129=F129, "BRUDD: Egengodkjenning", IF(G129=0, "MANGLER BILAG", "OK"))</f>
        <v/>
      </c>
    </row>
    <row r="130">
      <c r="A130" s="7" t="inlineStr">
        <is>
          <t>TX-10035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-64427.92</v>
      </c>
      <c r="E130" s="7" t="inlineStr">
        <is>
          <t>EMP-109</t>
        </is>
      </c>
      <c r="F130" s="7" t="inlineStr">
        <is>
          <t>EMP-117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TX-10036</t>
        </is>
      </c>
      <c r="B131" s="7" t="inlineStr">
        <is>
          <t>7130</t>
        </is>
      </c>
      <c r="C131" s="6" t="inlineStr">
        <is>
          <t>Reiseregning fagsamling - Okt 2026 (Handelshøyskolen)</t>
        </is>
      </c>
      <c r="D131" s="34" t="n">
        <v>23482.53</v>
      </c>
      <c r="E131" s="7" t="inlineStr">
        <is>
          <t>EMP-103</t>
        </is>
      </c>
      <c r="F131" s="7" t="inlineStr">
        <is>
          <t>EMP-112</t>
        </is>
      </c>
      <c r="G131" s="66" t="n">
        <v>1</v>
      </c>
      <c r="H131" s="6" t="inlineStr">
        <is>
          <t>Reiseregning fagsamling - Okt 2026 (Handelshøyskolen)</t>
        </is>
      </c>
      <c r="I131" s="6">
        <f>IF(E131=F131, "BRUDD: Egengodkjenning", IF(G131=0, "MANGLER BILAG", "OK"))</f>
        <v/>
      </c>
    </row>
    <row r="132">
      <c r="A132" s="7" t="inlineStr">
        <is>
          <t>TX-10037</t>
        </is>
      </c>
      <c r="B132" s="7" t="inlineStr">
        <is>
          <t>3400</t>
        </is>
      </c>
      <c r="C132" s="6" t="inlineStr">
        <is>
          <t>Oppdragsinntekter BOA - Okt 2026 (Fellesadministrasjon)</t>
        </is>
      </c>
      <c r="D132" s="34" t="n">
        <v>-72892.91</v>
      </c>
      <c r="E132" s="7" t="inlineStr">
        <is>
          <t>EMP-109</t>
        </is>
      </c>
      <c r="F132" s="7" t="inlineStr">
        <is>
          <t>EMP-119</t>
        </is>
      </c>
      <c r="G132" s="66" t="n">
        <v>1</v>
      </c>
      <c r="H132" s="6" t="inlineStr">
        <is>
          <t>Oppdragsinntekter BOA - Okt 2026 (Fellesadministrasjon)</t>
        </is>
      </c>
      <c r="I132" s="6">
        <f>IF(E132=F132, "BRUDD: Egengodkjenning", IF(G132=0, "MANGLER BILAG", "OK"))</f>
        <v/>
      </c>
    </row>
    <row r="133">
      <c r="A133" s="7" t="inlineStr">
        <is>
          <t>TX-10038</t>
        </is>
      </c>
      <c r="B133" s="7" t="inlineStr">
        <is>
          <t>7150</t>
        </is>
      </c>
      <c r="C133" s="6" t="inlineStr">
        <is>
          <t>Utenlandsreise fagkonferanse - Okt 2026 (Teknologi og Realfag)</t>
        </is>
      </c>
      <c r="D133" s="34" t="n">
        <v>18151</v>
      </c>
      <c r="E133" s="7" t="inlineStr">
        <is>
          <t>EMP-114</t>
        </is>
      </c>
      <c r="F133" s="7" t="inlineStr">
        <is>
          <t>EMP-105</t>
        </is>
      </c>
      <c r="G133" s="66" t="n">
        <v>1</v>
      </c>
      <c r="H133" s="6" t="inlineStr">
        <is>
          <t>Utenlandsreise fagkonferanse - Okt 2026 (Teknologi og Realfag)</t>
        </is>
      </c>
      <c r="I133" s="6">
        <f>IF(E133=F133, "BRUDD: Egengodkjenning", IF(G133=0, "MANGLER BILAG", "OK"))</f>
        <v/>
      </c>
    </row>
    <row r="134">
      <c r="A134" s="67" t="inlineStr">
        <is>
          <t>TX-10039</t>
        </is>
      </c>
      <c r="B134" s="67" t="inlineStr">
        <is>
          <t>5330</t>
        </is>
      </c>
      <c r="C134" s="19" t="inlineStr">
        <is>
          <t>Sensorhonorarer - Okt 2026 (Helse- og Idrettsvitenskap)</t>
        </is>
      </c>
      <c r="D134" s="72" t="n">
        <v>15359.17</v>
      </c>
      <c r="E134" s="67" t="inlineStr">
        <is>
          <t>EMP-110</t>
        </is>
      </c>
      <c r="F134" s="67" t="inlineStr">
        <is>
          <t>EMP-110</t>
        </is>
      </c>
      <c r="G134" s="69" t="n">
        <v>1</v>
      </c>
      <c r="H134" s="19" t="inlineStr">
        <is>
          <t>Sensorhonorarer - Okt 2026 (Helse- og Idrettsvitenskap)</t>
        </is>
      </c>
      <c r="I134" s="18">
        <f>IF(E134=F134, "BRUDD: Egengodkjenning", IF(G134=0, "MANGLER BILAG", "OK"))</f>
        <v/>
      </c>
    </row>
    <row r="135">
      <c r="A135" s="7" t="inlineStr">
        <is>
          <t>TX-10040</t>
        </is>
      </c>
      <c r="B135" s="7" t="inlineStr">
        <is>
          <t>5000</t>
        </is>
      </c>
      <c r="C135" s="6" t="inlineStr">
        <is>
          <t>Fast Lønn - Okt 2026 (Handelshøyskolen)</t>
        </is>
      </c>
      <c r="D135" s="34" t="n">
        <v>62863.97</v>
      </c>
      <c r="E135" s="7" t="inlineStr">
        <is>
          <t>EMP-114</t>
        </is>
      </c>
      <c r="F135" s="7" t="inlineStr">
        <is>
          <t>EMP-110</t>
        </is>
      </c>
      <c r="G135" s="66" t="n">
        <v>1</v>
      </c>
      <c r="H135" s="6" t="inlineStr">
        <is>
          <t>Fast Lønn - Okt 2026 (Handelshøyskolen)</t>
        </is>
      </c>
      <c r="I135" s="6">
        <f>IF(E135=F135, "BRUDD: Egengodkjenning", IF(G135=0, "MANGLER BILAG", "OK"))</f>
        <v/>
      </c>
    </row>
    <row r="136">
      <c r="A136" s="7" t="inlineStr">
        <is>
          <t>TX-10041</t>
        </is>
      </c>
      <c r="B136" s="7" t="inlineStr">
        <is>
          <t>3400</t>
        </is>
      </c>
      <c r="C136" s="6" t="inlineStr">
        <is>
          <t>Oppdragsinntekter BOA - Okt 2026 (Handelshøyskolen)</t>
        </is>
      </c>
      <c r="D136" s="34" t="n">
        <v>-49819.84</v>
      </c>
      <c r="E136" s="7" t="inlineStr">
        <is>
          <t>EMP-105</t>
        </is>
      </c>
      <c r="F136" s="7" t="inlineStr">
        <is>
          <t>EMP-109</t>
        </is>
      </c>
      <c r="G136" s="66" t="n">
        <v>1</v>
      </c>
      <c r="H136" s="6" t="inlineStr">
        <is>
          <t>Oppdragsinntekter BOA - Okt 2026 (Handelshøyskolen)</t>
        </is>
      </c>
      <c r="I136" s="6">
        <f>IF(E136=F136, "BRUDD: Egengodkjenning", IF(G136=0, "MANGLER BILAG", "OK"))</f>
        <v/>
      </c>
    </row>
    <row r="137">
      <c r="A137" s="7" t="inlineStr">
        <is>
          <t>TX-10042</t>
        </is>
      </c>
      <c r="B137" s="7" t="inlineStr">
        <is>
          <t>7130</t>
        </is>
      </c>
      <c r="C137" s="6" t="inlineStr">
        <is>
          <t>Reiseregning fagsamling - Okt 2026 (Teknologi og Realfag)</t>
        </is>
      </c>
      <c r="D137" s="34" t="n">
        <v>4218.39</v>
      </c>
      <c r="E137" s="7" t="inlineStr">
        <is>
          <t>EMP-116</t>
        </is>
      </c>
      <c r="F137" s="7" t="inlineStr">
        <is>
          <t>EMP-118</t>
        </is>
      </c>
      <c r="G137" s="66" t="n">
        <v>1</v>
      </c>
      <c r="H137" s="6" t="inlineStr">
        <is>
          <t>Reiseregning fagsamling - Okt 2026 (Teknologi og Realfag)</t>
        </is>
      </c>
      <c r="I137" s="6">
        <f>IF(E137=F137, "BRUDD: Egengodkjenning", IF(G137=0, "MANGLER BILAG", "OK"))</f>
        <v/>
      </c>
    </row>
    <row r="138">
      <c r="A138" s="7" t="inlineStr">
        <is>
          <t>TX-10043</t>
        </is>
      </c>
      <c r="B138" s="7" t="inlineStr">
        <is>
          <t>5000</t>
        </is>
      </c>
      <c r="C138" s="6" t="inlineStr">
        <is>
          <t>Fast Lønn - Okt 2026 (Helse- og Idrettsvitenskap)</t>
        </is>
      </c>
      <c r="D138" s="34" t="n">
        <v>36567.09</v>
      </c>
      <c r="E138" s="7" t="inlineStr">
        <is>
          <t>EMP-106</t>
        </is>
      </c>
      <c r="F138" s="7" t="inlineStr">
        <is>
          <t>EMP-104</t>
        </is>
      </c>
      <c r="G138" s="66" t="n">
        <v>1</v>
      </c>
      <c r="H138" s="6" t="inlineStr">
        <is>
          <t>Fast Lønn - Okt 2026 (Helse- og Idrettsvitenskap)</t>
        </is>
      </c>
      <c r="I138" s="6">
        <f>IF(E138=F138, "BRUDD: Egengodkjenning", IF(G138=0, "MANGLER BILAG", "OK"))</f>
        <v/>
      </c>
    </row>
    <row r="139">
      <c r="A139" s="7" t="inlineStr">
        <is>
          <t>TX-10044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17351.11</v>
      </c>
      <c r="E139" s="7" t="inlineStr">
        <is>
          <t>EMP-104</t>
        </is>
      </c>
      <c r="F139" s="7" t="inlineStr">
        <is>
          <t>EMP-105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TX-10045</t>
        </is>
      </c>
      <c r="B140" s="7" t="inlineStr">
        <is>
          <t>3400</t>
        </is>
      </c>
      <c r="C140" s="6" t="inlineStr">
        <is>
          <t>Oppdragsinntekter BOA - Okt 2026 (Teknologi og Realfag)</t>
        </is>
      </c>
      <c r="D140" s="34" t="n">
        <v>-117210.1</v>
      </c>
      <c r="E140" s="7" t="inlineStr">
        <is>
          <t>EMP-107</t>
        </is>
      </c>
      <c r="F140" s="7" t="inlineStr">
        <is>
          <t>EMP-114</t>
        </is>
      </c>
      <c r="G140" s="66" t="n">
        <v>1</v>
      </c>
      <c r="H140" s="6" t="inlineStr">
        <is>
          <t>Oppdragsinntekter BOA - Okt 2026 (Teknologi og Realfag)</t>
        </is>
      </c>
      <c r="I140" s="6">
        <f>IF(E140=F140, "BRUDD: Egengodkjenning", IF(G140=0, "MANGLER BILAG", "OK"))</f>
        <v/>
      </c>
    </row>
    <row r="141">
      <c r="A141" s="7" t="inlineStr">
        <is>
          <t>TX-10046</t>
        </is>
      </c>
      <c r="B141" s="7" t="inlineStr">
        <is>
          <t>7130</t>
        </is>
      </c>
      <c r="C141" s="6" t="inlineStr">
        <is>
          <t>Reiseregning fagsamling - Okt 2026 (Handelshøyskolen)</t>
        </is>
      </c>
      <c r="D141" s="34" t="n">
        <v>18819.31</v>
      </c>
      <c r="E141" s="7" t="inlineStr">
        <is>
          <t>EMP-102</t>
        </is>
      </c>
      <c r="F141" s="7" t="inlineStr">
        <is>
          <t>EMP-114</t>
        </is>
      </c>
      <c r="G141" s="66" t="n">
        <v>1</v>
      </c>
      <c r="H141" s="6" t="inlineStr">
        <is>
          <t>Reiseregning fagsamling - Okt 2026 (Handelshøyskolen)</t>
        </is>
      </c>
      <c r="I141" s="6">
        <f>IF(E141=F141, "BRUDD: Egengodkjenning", IF(G141=0, "MANGLER BILAG", "OK"))</f>
        <v/>
      </c>
    </row>
    <row r="142">
      <c r="A142" s="7" t="inlineStr">
        <is>
          <t>TX-10047</t>
        </is>
      </c>
      <c r="B142" s="7" t="inlineStr">
        <is>
          <t>7100</t>
        </is>
      </c>
      <c r="C142" s="6" t="inlineStr">
        <is>
          <t>Bilgodtgjørelse feltarbeid - Okt 2026 (Handelshøyskolen)</t>
        </is>
      </c>
      <c r="D142" s="34" t="n">
        <v>21310.59</v>
      </c>
      <c r="E142" s="7" t="inlineStr">
        <is>
          <t>EMP-109</t>
        </is>
      </c>
      <c r="F142" s="7" t="inlineStr">
        <is>
          <t>EMP-101</t>
        </is>
      </c>
      <c r="G142" s="66" t="n">
        <v>1</v>
      </c>
      <c r="H142" s="6" t="inlineStr">
        <is>
          <t>Bilgodtgjørelse feltarbeid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TX-10048</t>
        </is>
      </c>
      <c r="B143" s="7" t="inlineStr">
        <is>
          <t>5000</t>
        </is>
      </c>
      <c r="C143" s="6" t="inlineStr">
        <is>
          <t>Fast Lønn - Okt 2026 (Teknologi og Realfag)</t>
        </is>
      </c>
      <c r="D143" s="34" t="n">
        <v>43760.74</v>
      </c>
      <c r="E143" s="7" t="inlineStr">
        <is>
          <t>EMP-107</t>
        </is>
      </c>
      <c r="F143" s="7" t="inlineStr">
        <is>
          <t>EMP-110</t>
        </is>
      </c>
      <c r="G143" s="66" t="n">
        <v>1</v>
      </c>
      <c r="H143" s="6" t="inlineStr">
        <is>
          <t>Fast Lønn - Okt 2026 (Teknologi og Realfag)</t>
        </is>
      </c>
      <c r="I143" s="6">
        <f>IF(E143=F143, "BRUDD: Egengodkjenning", IF(G143=0, "MANGLER BILAG", "OK"))</f>
        <v/>
      </c>
    </row>
    <row r="144">
      <c r="A144" s="7" t="inlineStr">
        <is>
          <t>TX-10049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5268.65</v>
      </c>
      <c r="E144" s="7" t="inlineStr">
        <is>
          <t>EMP-114</t>
        </is>
      </c>
      <c r="F144" s="7" t="inlineStr">
        <is>
          <t>EMP-118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TX-10050</t>
        </is>
      </c>
      <c r="B145" s="7" t="inlineStr">
        <is>
          <t>5000</t>
        </is>
      </c>
      <c r="C145" s="6" t="inlineStr">
        <is>
          <t>Fast Lønn - Okt 2026 (Helse- og Idrettsvitenskap)</t>
        </is>
      </c>
      <c r="D145" s="34" t="n">
        <v>38421.95</v>
      </c>
      <c r="E145" s="7" t="inlineStr">
        <is>
          <t>EMP-104</t>
        </is>
      </c>
      <c r="F145" s="7" t="inlineStr">
        <is>
          <t>EMP-115</t>
        </is>
      </c>
      <c r="G145" s="66" t="n">
        <v>1</v>
      </c>
      <c r="H145" s="6" t="inlineStr">
        <is>
          <t>Fast Lønn - Okt 2026 (Helse- og Idrettsvitenskap)</t>
        </is>
      </c>
      <c r="I145" s="6">
        <f>IF(E145=F145, "BRUDD: Egengodkjenning", IF(G145=0, "MANGLER BILAG", "OK"))</f>
        <v/>
      </c>
    </row>
    <row r="146">
      <c r="A146" s="7" t="inlineStr">
        <is>
          <t>TX-10051</t>
        </is>
      </c>
      <c r="B146" s="7" t="inlineStr">
        <is>
          <t>6800</t>
        </is>
      </c>
      <c r="C146" s="6" t="inlineStr">
        <is>
          <t>Kontorrekvisita - Okt 2026 (Handelshøyskolen)</t>
        </is>
      </c>
      <c r="D146" s="34" t="n">
        <v>6641.19</v>
      </c>
      <c r="E146" s="7" t="inlineStr">
        <is>
          <t>EMP-117</t>
        </is>
      </c>
      <c r="F146" s="7" t="inlineStr">
        <is>
          <t>EMP-106</t>
        </is>
      </c>
      <c r="G146" s="66" t="n">
        <v>1</v>
      </c>
      <c r="H146" s="6" t="inlineStr">
        <is>
          <t>Kontorrekvisita - Okt 2026 (Handelshøyskolen)</t>
        </is>
      </c>
      <c r="I146" s="6">
        <f>IF(E146=F146, "BRUDD: Egengodkjenning", IF(G146=0, "MANGLER BILAG", "OK"))</f>
        <v/>
      </c>
    </row>
    <row r="147">
      <c r="A147" s="7" t="inlineStr">
        <is>
          <t>TX-10052</t>
        </is>
      </c>
      <c r="B147" s="7" t="inlineStr">
        <is>
          <t>6800</t>
        </is>
      </c>
      <c r="C147" s="6" t="inlineStr">
        <is>
          <t>Kontorrekvisita - Okt 2026 (Fellesadministrasjon)</t>
        </is>
      </c>
      <c r="D147" s="34" t="n">
        <v>7646.5</v>
      </c>
      <c r="E147" s="7" t="inlineStr">
        <is>
          <t>EMP-117</t>
        </is>
      </c>
      <c r="F147" s="7" t="inlineStr">
        <is>
          <t>EMP-112</t>
        </is>
      </c>
      <c r="G147" s="66" t="n">
        <v>1</v>
      </c>
      <c r="H147" s="6" t="inlineStr">
        <is>
          <t>Kontorrekvisita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TX-10053</t>
        </is>
      </c>
      <c r="B148" s="7" t="inlineStr">
        <is>
          <t>5330</t>
        </is>
      </c>
      <c r="C148" s="6" t="inlineStr">
        <is>
          <t>Sensorhonorarer - Okt 2026 (Teknologi og Realfag)</t>
        </is>
      </c>
      <c r="D148" s="34" t="n">
        <v>17735.73</v>
      </c>
      <c r="E148" s="7" t="inlineStr">
        <is>
          <t>EMP-102</t>
        </is>
      </c>
      <c r="F148" s="7" t="inlineStr">
        <is>
          <t>EMP-107</t>
        </is>
      </c>
      <c r="G148" s="66" t="n">
        <v>1</v>
      </c>
      <c r="H148" s="6" t="inlineStr">
        <is>
          <t>Sensorhonorarer - Okt 2026 (Teknologi og Realfag)</t>
        </is>
      </c>
      <c r="I148" s="6">
        <f>IF(E148=F148, "BRUDD: Egengodkjenning", IF(G148=0, "MANGLER BILAG", "OK"))</f>
        <v/>
      </c>
    </row>
    <row r="149">
      <c r="A149" s="7" t="inlineStr">
        <is>
          <t>TX-10054</t>
        </is>
      </c>
      <c r="B149" s="7" t="inlineStr">
        <is>
          <t>5000</t>
        </is>
      </c>
      <c r="C149" s="6" t="inlineStr">
        <is>
          <t>Fast Lønn - Okt 2026 (Fellesadministrasjon)</t>
        </is>
      </c>
      <c r="D149" s="34" t="n">
        <v>47388.55</v>
      </c>
      <c r="E149" s="7" t="inlineStr">
        <is>
          <t>EMP-108</t>
        </is>
      </c>
      <c r="F149" s="7" t="inlineStr">
        <is>
          <t>EMP-116</t>
        </is>
      </c>
      <c r="G149" s="66" t="n">
        <v>1</v>
      </c>
      <c r="H149" s="6" t="inlineStr">
        <is>
          <t>Fast Lønn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TX-10055</t>
        </is>
      </c>
      <c r="B150" s="7" t="inlineStr">
        <is>
          <t>5000</t>
        </is>
      </c>
      <c r="C150" s="6" t="inlineStr">
        <is>
          <t>Fast Lønn - Okt 2026 (Helse- og Idrettsvitenskap)</t>
        </is>
      </c>
      <c r="D150" s="34" t="n">
        <v>39150.67</v>
      </c>
      <c r="E150" s="7" t="inlineStr">
        <is>
          <t>EMP-104</t>
        </is>
      </c>
      <c r="F150" s="7" t="inlineStr">
        <is>
          <t>EMP-113</t>
        </is>
      </c>
      <c r="G150" s="66" t="n">
        <v>1</v>
      </c>
      <c r="H150" s="6" t="inlineStr">
        <is>
          <t>Fast Lønn - Okt 2026 (Helse- og Idrettsvitenskap)</t>
        </is>
      </c>
      <c r="I150" s="6">
        <f>IF(E150=F150, "BRUDD: Egengodkjenning", IF(G150=0, "MANGLER BILAG", "OK"))</f>
        <v/>
      </c>
    </row>
    <row r="151">
      <c r="A151" s="7" t="inlineStr">
        <is>
          <t>TX-10056</t>
        </is>
      </c>
      <c r="B151" s="7" t="inlineStr">
        <is>
          <t>5330</t>
        </is>
      </c>
      <c r="C151" s="6" t="inlineStr">
        <is>
          <t>Sensorhonorarer - Okt 2026 (Fellesadministrasjon)</t>
        </is>
      </c>
      <c r="D151" s="34" t="n">
        <v>8056.14</v>
      </c>
      <c r="E151" s="7" t="inlineStr">
        <is>
          <t>EMP-107</t>
        </is>
      </c>
      <c r="F151" s="7" t="inlineStr">
        <is>
          <t>EMP-101</t>
        </is>
      </c>
      <c r="G151" s="66" t="n">
        <v>1</v>
      </c>
      <c r="H151" s="6" t="inlineStr">
        <is>
          <t>Sensorhonorarer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TX-10057</t>
        </is>
      </c>
      <c r="B152" s="7" t="inlineStr">
        <is>
          <t>5330</t>
        </is>
      </c>
      <c r="C152" s="6" t="inlineStr">
        <is>
          <t>Sensorhonorarer - Okt 2026 (Handelshøyskolen)</t>
        </is>
      </c>
      <c r="D152" s="34" t="n">
        <v>14261.49</v>
      </c>
      <c r="E152" s="7" t="inlineStr">
        <is>
          <t>EMP-119</t>
        </is>
      </c>
      <c r="F152" s="7" t="inlineStr">
        <is>
          <t>EMP-105</t>
        </is>
      </c>
      <c r="G152" s="66" t="n">
        <v>1</v>
      </c>
      <c r="H152" s="6" t="inlineStr">
        <is>
          <t>Sensorhonorarer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TX-10058</t>
        </is>
      </c>
      <c r="B153" s="7" t="inlineStr">
        <is>
          <t>5000</t>
        </is>
      </c>
      <c r="C153" s="6" t="inlineStr">
        <is>
          <t>Fast Lønn - Okt 2026 (Fellesadministrasjon)</t>
        </is>
      </c>
      <c r="D153" s="34" t="n">
        <v>42887.32</v>
      </c>
      <c r="E153" s="7" t="inlineStr">
        <is>
          <t>EMP-115</t>
        </is>
      </c>
      <c r="F153" s="7" t="inlineStr">
        <is>
          <t>EMP-118</t>
        </is>
      </c>
      <c r="G153" s="66" t="n">
        <v>1</v>
      </c>
      <c r="H153" s="6" t="inlineStr">
        <is>
          <t>Fast Lønn - Okt 2026 (Fellesadministrasjon)</t>
        </is>
      </c>
      <c r="I153" s="6">
        <f>IF(E153=F153, "BRUDD: Egengodkjenning", IF(G153=0, "MANGLER BILAG", "OK"))</f>
        <v/>
      </c>
    </row>
    <row r="154">
      <c r="A154" s="7" t="inlineStr">
        <is>
          <t>TX-10059</t>
        </is>
      </c>
      <c r="B154" s="7" t="inlineStr">
        <is>
          <t>7100</t>
        </is>
      </c>
      <c r="C154" s="6" t="inlineStr">
        <is>
          <t>Bilgodtgjørelse feltarbeid - Okt 2026 (Handelshøyskolen)</t>
        </is>
      </c>
      <c r="D154" s="34" t="n">
        <v>16106.8</v>
      </c>
      <c r="E154" s="7" t="inlineStr">
        <is>
          <t>EMP-111</t>
        </is>
      </c>
      <c r="F154" s="7" t="inlineStr">
        <is>
          <t>EMP-112</t>
        </is>
      </c>
      <c r="G154" s="66" t="n">
        <v>1</v>
      </c>
      <c r="H154" s="6" t="inlineStr">
        <is>
          <t>Bilgodtgjørelse feltarbeid - Okt 2026 (Handelshøyskolen)</t>
        </is>
      </c>
      <c r="I154" s="6">
        <f>IF(E154=F154, "BRUDD: Egengodkjenning", IF(G154=0, "MANGLER BILAG", "OK"))</f>
        <v/>
      </c>
    </row>
    <row r="155">
      <c r="A155" s="7" t="inlineStr">
        <is>
          <t>TX-10060</t>
        </is>
      </c>
      <c r="B155" s="7" t="inlineStr">
        <is>
          <t>7130</t>
        </is>
      </c>
      <c r="C155" s="6" t="inlineStr">
        <is>
          <t>Reiseregning fagsamling - Okt 2026 (Helse- og Idrettsvitenskap)</t>
        </is>
      </c>
      <c r="D155" s="34" t="n">
        <v>12652.18</v>
      </c>
      <c r="E155" s="7" t="inlineStr">
        <is>
          <t>EMP-112</t>
        </is>
      </c>
      <c r="F155" s="7" t="inlineStr">
        <is>
          <t>EMP-103</t>
        </is>
      </c>
      <c r="G155" s="66" t="n">
        <v>1</v>
      </c>
      <c r="H155" s="6" t="inlineStr">
        <is>
          <t>Reiseregning fagsamling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TX-10061</t>
        </is>
      </c>
      <c r="B156" s="7" t="inlineStr">
        <is>
          <t>3400</t>
        </is>
      </c>
      <c r="C156" s="6" t="inlineStr">
        <is>
          <t>Oppdragsinntekter BOA - Okt 2026 (Helse- og Idrettsvitenskap)</t>
        </is>
      </c>
      <c r="D156" s="34" t="n">
        <v>-40719.11</v>
      </c>
      <c r="E156" s="7" t="inlineStr">
        <is>
          <t>EMP-106</t>
        </is>
      </c>
      <c r="F156" s="7" t="inlineStr">
        <is>
          <t>EMP-119</t>
        </is>
      </c>
      <c r="G156" s="66" t="n">
        <v>1</v>
      </c>
      <c r="H156" s="6" t="inlineStr">
        <is>
          <t>Oppdragsinntekter BOA - Okt 2026 (Helse- og Idrettsvitenskap)</t>
        </is>
      </c>
      <c r="I156" s="6">
        <f>IF(E156=F156, "BRUDD: Egengodkjenning", IF(G156=0, "MANGLER BILAG", "OK"))</f>
        <v/>
      </c>
    </row>
    <row r="157">
      <c r="A157" s="7" t="inlineStr">
        <is>
          <t>TX-10062</t>
        </is>
      </c>
      <c r="B157" s="7" t="inlineStr">
        <is>
          <t>5330</t>
        </is>
      </c>
      <c r="C157" s="6" t="inlineStr">
        <is>
          <t>Sensorhonorarer - Okt 2026 (Helse- og Idrettsvitenskap)</t>
        </is>
      </c>
      <c r="D157" s="34" t="n">
        <v>16565.59</v>
      </c>
      <c r="E157" s="7" t="inlineStr">
        <is>
          <t>EMP-101</t>
        </is>
      </c>
      <c r="F157" s="7" t="inlineStr">
        <is>
          <t>EMP-107</t>
        </is>
      </c>
      <c r="G157" s="66" t="n">
        <v>1</v>
      </c>
      <c r="H157" s="6" t="inlineStr">
        <is>
          <t>Sensorhonorarer - Okt 2026 (Helse- og Idrettsvitenskap)</t>
        </is>
      </c>
      <c r="I157" s="6">
        <f>IF(E157=F157, "BRUDD: Egengodkjenning", IF(G157=0, "MANGLER BILAG", "OK"))</f>
        <v/>
      </c>
    </row>
    <row r="158">
      <c r="A158" s="7" t="inlineStr">
        <is>
          <t>TX-10063</t>
        </is>
      </c>
      <c r="B158" s="7" t="inlineStr">
        <is>
          <t>7100</t>
        </is>
      </c>
      <c r="C158" s="6" t="inlineStr">
        <is>
          <t>Bilgodtgjørelse feltarbeid - Okt 2026 (Teknologi og Realfag)</t>
        </is>
      </c>
      <c r="D158" s="34" t="n">
        <v>3382.01</v>
      </c>
      <c r="E158" s="7" t="inlineStr">
        <is>
          <t>EMP-115</t>
        </is>
      </c>
      <c r="F158" s="7" t="inlineStr">
        <is>
          <t>EMP-114</t>
        </is>
      </c>
      <c r="G158" s="66" t="n">
        <v>1</v>
      </c>
      <c r="H158" s="6" t="inlineStr">
        <is>
          <t>Bilgodtgjørelse feltarbeid - Okt 2026 (Teknologi og Realfag)</t>
        </is>
      </c>
      <c r="I158" s="6">
        <f>IF(E158=F158, "BRUDD: Egengodkjenning", IF(G158=0, "MANGLER BILAG", "OK"))</f>
        <v/>
      </c>
    </row>
    <row r="159">
      <c r="A159" s="7" t="inlineStr">
        <is>
          <t>TX-10064</t>
        </is>
      </c>
      <c r="B159" s="7" t="inlineStr">
        <is>
          <t>5000</t>
        </is>
      </c>
      <c r="C159" s="6" t="inlineStr">
        <is>
          <t>Fast Lønn - Okt 2026 (Handelshøyskolen)</t>
        </is>
      </c>
      <c r="D159" s="34" t="n">
        <v>49113.87</v>
      </c>
      <c r="E159" s="7" t="inlineStr">
        <is>
          <t>EMP-112</t>
        </is>
      </c>
      <c r="F159" s="7" t="inlineStr">
        <is>
          <t>EMP-118</t>
        </is>
      </c>
      <c r="G159" s="66" t="n">
        <v>1</v>
      </c>
      <c r="H159" s="6" t="inlineStr">
        <is>
          <t>Fast Lønn - Okt 2026 (Handelshøyskolen)</t>
        </is>
      </c>
      <c r="I159" s="6">
        <f>IF(E159=F159, "BRUDD: Egengodkjenning", IF(G159=0, "MANGLER BILAG", "OK"))</f>
        <v/>
      </c>
    </row>
    <row r="160">
      <c r="A160" s="67" t="inlineStr">
        <is>
          <t>TX-10065</t>
        </is>
      </c>
      <c r="B160" s="67" t="inlineStr">
        <is>
          <t>5000</t>
        </is>
      </c>
      <c r="C160" s="19" t="inlineStr">
        <is>
          <t>Fast Lønn - Okt 2026 (Handelshøyskolen)</t>
        </is>
      </c>
      <c r="D160" s="72" t="n">
        <v>63375.29</v>
      </c>
      <c r="E160" s="67" t="inlineStr">
        <is>
          <t>EMP-111</t>
        </is>
      </c>
      <c r="F160" s="67" t="inlineStr">
        <is>
          <t>EMP-111</t>
        </is>
      </c>
      <c r="G160" s="69" t="n">
        <v>1</v>
      </c>
      <c r="H160" s="19" t="inlineStr">
        <is>
          <t>Fast Lønn - Okt 2026 (Handelshøyskolen)</t>
        </is>
      </c>
      <c r="I160" s="18">
        <f>IF(E160=F160, "BRUDD: Egengodkjenning", IF(G160=0, "MANGLER BILAG", "OK"))</f>
        <v/>
      </c>
    </row>
    <row r="161">
      <c r="A161" s="7" t="inlineStr">
        <is>
          <t>TX-10066</t>
        </is>
      </c>
      <c r="B161" s="7" t="inlineStr">
        <is>
          <t>7150</t>
        </is>
      </c>
      <c r="C161" s="6" t="inlineStr">
        <is>
          <t>Utenlandsreise fagkonferanse - Okt 2026 (Teknologi og Realfag)</t>
        </is>
      </c>
      <c r="D161" s="34" t="n">
        <v>863.4400000000001</v>
      </c>
      <c r="E161" s="7" t="inlineStr">
        <is>
          <t>EMP-112</t>
        </is>
      </c>
      <c r="F161" s="7" t="inlineStr">
        <is>
          <t>EMP-114</t>
        </is>
      </c>
      <c r="G161" s="66" t="n">
        <v>1</v>
      </c>
      <c r="H161" s="6" t="inlineStr">
        <is>
          <t>Utenlandsreise fagkonferanse - Okt 2026 (Teknologi og Realfag)</t>
        </is>
      </c>
      <c r="I161" s="6">
        <f>IF(E161=F161, "BRUDD: Egengodkjenning", IF(G161=0, "MANGLER BILAG", "OK"))</f>
        <v/>
      </c>
    </row>
    <row r="162">
      <c r="A162" s="7" t="inlineStr">
        <is>
          <t>TX-10067</t>
        </is>
      </c>
      <c r="B162" s="7" t="inlineStr">
        <is>
          <t>6800</t>
        </is>
      </c>
      <c r="C162" s="6" t="inlineStr">
        <is>
          <t>Kontorrekvisita - Okt 2026 (Fellesadministrasjon)</t>
        </is>
      </c>
      <c r="D162" s="34" t="n">
        <v>19375.19</v>
      </c>
      <c r="E162" s="7" t="inlineStr">
        <is>
          <t>EMP-112</t>
        </is>
      </c>
      <c r="F162" s="7" t="inlineStr">
        <is>
          <t>EMP-102</t>
        </is>
      </c>
      <c r="G162" s="66" t="n">
        <v>1</v>
      </c>
      <c r="H162" s="6" t="inlineStr">
        <is>
          <t>Kontorrekvisita - Okt 2026 (Fellesadministrasjon)</t>
        </is>
      </c>
      <c r="I162" s="6">
        <f>IF(E162=F162, "BRUDD: Egengodkjenning", IF(G162=0, "MANGLER BILAG", "OK"))</f>
        <v/>
      </c>
    </row>
    <row r="163">
      <c r="A163" s="67" t="inlineStr">
        <is>
          <t>TX-10068</t>
        </is>
      </c>
      <c r="B163" s="67" t="inlineStr">
        <is>
          <t>7150</t>
        </is>
      </c>
      <c r="C163" s="19" t="inlineStr">
        <is>
          <t>Utenlandsreise fagkonferanse - Okt 2026 (Handelshøyskolen)</t>
        </is>
      </c>
      <c r="D163" s="72" t="n">
        <v>9175.549999999999</v>
      </c>
      <c r="E163" s="67" t="inlineStr">
        <is>
          <t>EMP-116</t>
        </is>
      </c>
      <c r="F163" s="67" t="inlineStr">
        <is>
          <t>EMP-116</t>
        </is>
      </c>
      <c r="G163" s="69" t="n">
        <v>1</v>
      </c>
      <c r="H163" s="19" t="inlineStr">
        <is>
          <t>Utenlandsreise fagkonferanse - Okt 2026 (Handelshøyskolen)</t>
        </is>
      </c>
      <c r="I163" s="18">
        <f>IF(E163=F163, "BRUDD: Egengodkjenning", IF(G163=0, "MANGLER BILAG", "OK"))</f>
        <v/>
      </c>
    </row>
    <row r="164">
      <c r="A164" s="7" t="inlineStr">
        <is>
          <t>TX-10069</t>
        </is>
      </c>
      <c r="B164" s="7" t="inlineStr">
        <is>
          <t>7100</t>
        </is>
      </c>
      <c r="C164" s="6" t="inlineStr">
        <is>
          <t>Bilgodtgjørelse feltarbeid - Okt 2026 (Handelshøyskolen)</t>
        </is>
      </c>
      <c r="D164" s="34" t="n">
        <v>1623.32</v>
      </c>
      <c r="E164" s="7" t="inlineStr">
        <is>
          <t>EMP-102</t>
        </is>
      </c>
      <c r="F164" s="7" t="inlineStr">
        <is>
          <t>EMP-113</t>
        </is>
      </c>
      <c r="G164" s="66" t="n">
        <v>1</v>
      </c>
      <c r="H164" s="6" t="inlineStr">
        <is>
          <t>Bilgodtgjørelse feltarbeid - Okt 2026 (Handelshøyskolen)</t>
        </is>
      </c>
      <c r="I164" s="6">
        <f>IF(E164=F164, "BRUDD: Egengodkjenning", IF(G164=0, "MANGLER BILAG", "OK"))</f>
        <v/>
      </c>
    </row>
    <row r="165">
      <c r="A165" s="7" t="inlineStr">
        <is>
          <t>TX-10070</t>
        </is>
      </c>
      <c r="B165" s="7" t="inlineStr">
        <is>
          <t>7130</t>
        </is>
      </c>
      <c r="C165" s="6" t="inlineStr">
        <is>
          <t>Reiseregning fagsamling - Okt 2026 (Teknologi og Realfag)</t>
        </is>
      </c>
      <c r="D165" s="34" t="n">
        <v>24627.14</v>
      </c>
      <c r="E165" s="7" t="inlineStr">
        <is>
          <t>EMP-110</t>
        </is>
      </c>
      <c r="F165" s="7" t="inlineStr">
        <is>
          <t>EMP-115</t>
        </is>
      </c>
      <c r="G165" s="66" t="n">
        <v>1</v>
      </c>
      <c r="H165" s="6" t="inlineStr">
        <is>
          <t>Reiseregning fagsamling - Okt 2026 (Teknologi og Realfag)</t>
        </is>
      </c>
      <c r="I165" s="6">
        <f>IF(E165=F165, "BRUDD: Egengodkjenning", IF(G165=0, "MANGLER BILAG", "OK"))</f>
        <v/>
      </c>
    </row>
    <row r="166">
      <c r="A166" s="7" t="inlineStr">
        <is>
          <t>TX-10071</t>
        </is>
      </c>
      <c r="B166" s="7" t="inlineStr">
        <is>
          <t>5330</t>
        </is>
      </c>
      <c r="C166" s="6" t="inlineStr">
        <is>
          <t>Sensorhonorarer - Okt 2026 (Fellesadministrasjon)</t>
        </is>
      </c>
      <c r="D166" s="34" t="n">
        <v>13117.51</v>
      </c>
      <c r="E166" s="7" t="inlineStr">
        <is>
          <t>EMP-110</t>
        </is>
      </c>
      <c r="F166" s="7" t="inlineStr">
        <is>
          <t>EMP-104</t>
        </is>
      </c>
      <c r="G166" s="66" t="n">
        <v>1</v>
      </c>
      <c r="H166" s="6" t="inlineStr">
        <is>
          <t>Sensorhonorarer - Okt 2026 (Fellesadministrasjon)</t>
        </is>
      </c>
      <c r="I166" s="6">
        <f>IF(E166=F166, "BRUDD: Egengodkjenning", IF(G166=0, "MANGLER BILAG", "OK"))</f>
        <v/>
      </c>
    </row>
    <row r="167">
      <c r="A167" s="7" t="inlineStr">
        <is>
          <t>TX-10072</t>
        </is>
      </c>
      <c r="B167" s="7" t="inlineStr">
        <is>
          <t>5330</t>
        </is>
      </c>
      <c r="C167" s="6" t="inlineStr">
        <is>
          <t>Sensorhonorarer - Okt 2026 (Handelshøyskolen)</t>
        </is>
      </c>
      <c r="D167" s="34" t="n">
        <v>13610.2</v>
      </c>
      <c r="E167" s="7" t="inlineStr">
        <is>
          <t>EMP-114</t>
        </is>
      </c>
      <c r="F167" s="7" t="inlineStr">
        <is>
          <t>EMP-116</t>
        </is>
      </c>
      <c r="G167" s="66" t="n">
        <v>1</v>
      </c>
      <c r="H167" s="6" t="inlineStr">
        <is>
          <t>Sensorhonorarer - Okt 2026 (Handelshøyskolen)</t>
        </is>
      </c>
      <c r="I167" s="6">
        <f>IF(E167=F167, "BRUDD: Egengodkjenning", IF(G167=0, "MANGLER BILAG", "OK"))</f>
        <v/>
      </c>
    </row>
    <row r="168">
      <c r="A168" s="7" t="inlineStr">
        <is>
          <t>TX-10073</t>
        </is>
      </c>
      <c r="B168" s="7" t="inlineStr">
        <is>
          <t>5330</t>
        </is>
      </c>
      <c r="C168" s="6" t="inlineStr">
        <is>
          <t>Sensorhonorarer - Okt 2026 (Handelshøyskolen)</t>
        </is>
      </c>
      <c r="D168" s="34" t="n">
        <v>14931.64</v>
      </c>
      <c r="E168" s="7" t="inlineStr">
        <is>
          <t>EMP-109</t>
        </is>
      </c>
      <c r="F168" s="7" t="inlineStr">
        <is>
          <t>EMP-101</t>
        </is>
      </c>
      <c r="G168" s="66" t="n">
        <v>1</v>
      </c>
      <c r="H168" s="6" t="inlineStr">
        <is>
          <t>Sensorhonorarer - Okt 2026 (Handelshøyskolen)</t>
        </is>
      </c>
      <c r="I168" s="6">
        <f>IF(E168=F168, "BRUDD: Egengodkjenning", IF(G168=0, "MANGLER BILAG", "OK"))</f>
        <v/>
      </c>
    </row>
    <row r="169">
      <c r="A169" s="7" t="inlineStr">
        <is>
          <t>TX-10074</t>
        </is>
      </c>
      <c r="B169" s="7" t="inlineStr">
        <is>
          <t>6800</t>
        </is>
      </c>
      <c r="C169" s="6" t="inlineStr">
        <is>
          <t>Kontorrekvisita - Okt 2026 (Fellesadministrasjon)</t>
        </is>
      </c>
      <c r="D169" s="34" t="n">
        <v>2572.9</v>
      </c>
      <c r="E169" s="7" t="inlineStr">
        <is>
          <t>EMP-111</t>
        </is>
      </c>
      <c r="F169" s="7" t="inlineStr">
        <is>
          <t>EMP-118</t>
        </is>
      </c>
      <c r="G169" s="66" t="n">
        <v>1</v>
      </c>
      <c r="H169" s="6" t="inlineStr">
        <is>
          <t>Kontorrekvisita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TX-10075</t>
        </is>
      </c>
      <c r="B170" s="7" t="inlineStr">
        <is>
          <t>5330</t>
        </is>
      </c>
      <c r="C170" s="6" t="inlineStr">
        <is>
          <t>Sensorhonorarer - Okt 2026 (Teknologi og Realfag)</t>
        </is>
      </c>
      <c r="D170" s="34" t="n">
        <v>14895.38</v>
      </c>
      <c r="E170" s="7" t="inlineStr">
        <is>
          <t>EMP-106</t>
        </is>
      </c>
      <c r="F170" s="7" t="inlineStr">
        <is>
          <t>EMP-119</t>
        </is>
      </c>
      <c r="G170" s="66" t="n">
        <v>1</v>
      </c>
      <c r="H170" s="6" t="inlineStr">
        <is>
          <t>Sensorhonorarer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TX-10076</t>
        </is>
      </c>
      <c r="B171" s="7" t="inlineStr">
        <is>
          <t>5000</t>
        </is>
      </c>
      <c r="C171" s="6" t="inlineStr">
        <is>
          <t>Fast Lønn - Okt 2026 (Fellesadministrasjon)</t>
        </is>
      </c>
      <c r="D171" s="34" t="n">
        <v>51068.34</v>
      </c>
      <c r="E171" s="7" t="inlineStr">
        <is>
          <t>EMP-118</t>
        </is>
      </c>
      <c r="F171" s="7" t="inlineStr">
        <is>
          <t>EMP-104</t>
        </is>
      </c>
      <c r="G171" s="66" t="n">
        <v>1</v>
      </c>
      <c r="H171" s="6" t="inlineStr">
        <is>
          <t>Fast Lønn - Okt 2026 (Fellesadministrasjon)</t>
        </is>
      </c>
      <c r="I171" s="6">
        <f>IF(E171=F171, "BRUDD: Egengodkjenning", IF(G171=0, "MANGLER BILAG", "OK"))</f>
        <v/>
      </c>
    </row>
    <row r="172">
      <c r="A172" s="7" t="inlineStr">
        <is>
          <t>TX-10077</t>
        </is>
      </c>
      <c r="B172" s="7" t="inlineStr">
        <is>
          <t>7100</t>
        </is>
      </c>
      <c r="C172" s="6" t="inlineStr">
        <is>
          <t>Bilgodtgjørelse feltarbeid - Okt 2026 (Teknologi og Realfag)</t>
        </is>
      </c>
      <c r="D172" s="34" t="n">
        <v>13397.15</v>
      </c>
      <c r="E172" s="7" t="inlineStr">
        <is>
          <t>EMP-109</t>
        </is>
      </c>
      <c r="F172" s="7" t="inlineStr">
        <is>
          <t>EMP-114</t>
        </is>
      </c>
      <c r="G172" s="66" t="n">
        <v>0</v>
      </c>
      <c r="H172" s="6" t="inlineStr">
        <is>
          <t>Bilgodtgjørelse feltarbeid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TX-10078</t>
        </is>
      </c>
      <c r="B173" s="7" t="inlineStr">
        <is>
          <t>5330</t>
        </is>
      </c>
      <c r="C173" s="6" t="inlineStr">
        <is>
          <t>Sensorhonorarer - Okt 2026 (Teknologi og Realfag)</t>
        </is>
      </c>
      <c r="D173" s="34" t="n">
        <v>19838.92</v>
      </c>
      <c r="E173" s="7" t="inlineStr">
        <is>
          <t>EMP-104</t>
        </is>
      </c>
      <c r="F173" s="7" t="inlineStr">
        <is>
          <t>EMP-114</t>
        </is>
      </c>
      <c r="G173" s="66" t="n">
        <v>1</v>
      </c>
      <c r="H173" s="6" t="inlineStr">
        <is>
          <t>Sensorhonorarer - Okt 2026 (Teknologi og Realfag)</t>
        </is>
      </c>
      <c r="I173" s="6">
        <f>IF(E173=F173, "BRUDD: Egengodkjenning", IF(G173=0, "MANGLER BILAG", "OK"))</f>
        <v/>
      </c>
    </row>
    <row r="174">
      <c r="A174" s="7" t="inlineStr">
        <is>
          <t>TX-10079</t>
        </is>
      </c>
      <c r="B174" s="7" t="inlineStr">
        <is>
          <t>3400</t>
        </is>
      </c>
      <c r="C174" s="6" t="inlineStr">
        <is>
          <t>Oppdragsinntekter BOA - Okt 2026 (Teknologi og Realfag)</t>
        </is>
      </c>
      <c r="D174" s="34" t="n">
        <v>-34203.76</v>
      </c>
      <c r="E174" s="7" t="inlineStr">
        <is>
          <t>EMP-116</t>
        </is>
      </c>
      <c r="F174" s="7" t="inlineStr">
        <is>
          <t>EMP-106</t>
        </is>
      </c>
      <c r="G174" s="66" t="n">
        <v>0</v>
      </c>
      <c r="H174" s="6" t="inlineStr">
        <is>
          <t>Oppdragsinntekter BOA - Okt 2026 (Teknologi og Realfag)</t>
        </is>
      </c>
      <c r="I174" s="6">
        <f>IF(E174=F174, "BRUDD: Egengodkjenning", IF(G174=0, "MANGLER BILAG", "OK"))</f>
        <v/>
      </c>
    </row>
    <row r="175">
      <c r="A175" s="7" t="inlineStr">
        <is>
          <t>TX-10080</t>
        </is>
      </c>
      <c r="B175" s="7" t="inlineStr">
        <is>
          <t>5330</t>
        </is>
      </c>
      <c r="C175" s="6" t="inlineStr">
        <is>
          <t>Sensorhonorarer - Okt 2026 (Helse- og Idrettsvitenskap)</t>
        </is>
      </c>
      <c r="D175" s="34" t="n">
        <v>7584.85</v>
      </c>
      <c r="E175" s="7" t="inlineStr">
        <is>
          <t>EMP-118</t>
        </is>
      </c>
      <c r="F175" s="7" t="inlineStr">
        <is>
          <t>EMP-108</t>
        </is>
      </c>
      <c r="G175" s="66" t="n">
        <v>1</v>
      </c>
      <c r="H175" s="6" t="inlineStr">
        <is>
          <t>Sensorhonorarer - Okt 2026 (Helse- og Idrettsvitenskap)</t>
        </is>
      </c>
      <c r="I175" s="6">
        <f>IF(E175=F175, "BRUDD: Egengodkjenning", IF(G175=0, "MANGLER BILAG", "OK"))</f>
        <v/>
      </c>
    </row>
    <row r="176">
      <c r="A176" s="7" t="inlineStr">
        <is>
          <t>TX-10081</t>
        </is>
      </c>
      <c r="B176" s="7" t="inlineStr">
        <is>
          <t>7100</t>
        </is>
      </c>
      <c r="C176" s="6" t="inlineStr">
        <is>
          <t>Bilgodtgjørelse feltarbeid - Okt 2026 (Fellesadministrasjon)</t>
        </is>
      </c>
      <c r="D176" s="34" t="n">
        <v>16731.97</v>
      </c>
      <c r="E176" s="7" t="inlineStr">
        <is>
          <t>EMP-117</t>
        </is>
      </c>
      <c r="F176" s="7" t="inlineStr">
        <is>
          <t>EMP-116</t>
        </is>
      </c>
      <c r="G176" s="66" t="n">
        <v>0</v>
      </c>
      <c r="H176" s="6" t="inlineStr">
        <is>
          <t>Bilgodtgjørelse feltarbeid - Okt 2026 (Fellesadministrasjon)</t>
        </is>
      </c>
      <c r="I176" s="6">
        <f>IF(E176=F176, "BRUDD: Egengodkjenning", IF(G176=0, "MANGLER BILAG", "OK"))</f>
        <v/>
      </c>
    </row>
    <row r="177">
      <c r="A177" s="7" t="inlineStr">
        <is>
          <t>TX-10082</t>
        </is>
      </c>
      <c r="B177" s="7" t="inlineStr">
        <is>
          <t>3400</t>
        </is>
      </c>
      <c r="C177" s="6" t="inlineStr">
        <is>
          <t>Oppdragsinntekter BOA - Okt 2026 (Fellesadministrasjon)</t>
        </is>
      </c>
      <c r="D177" s="34" t="n">
        <v>-73755.36</v>
      </c>
      <c r="E177" s="7" t="inlineStr">
        <is>
          <t>EMP-119</t>
        </is>
      </c>
      <c r="F177" s="7" t="inlineStr">
        <is>
          <t>EMP-118</t>
        </is>
      </c>
      <c r="G177" s="66" t="n">
        <v>1</v>
      </c>
      <c r="H177" s="6" t="inlineStr">
        <is>
          <t>Oppdragsinntekter BOA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TX-10083</t>
        </is>
      </c>
      <c r="B178" s="7" t="inlineStr">
        <is>
          <t>6800</t>
        </is>
      </c>
      <c r="C178" s="6" t="inlineStr">
        <is>
          <t>Kontorrekvisita - Okt 2026 (Handelshøyskolen)</t>
        </is>
      </c>
      <c r="D178" s="34" t="n">
        <v>18787.83</v>
      </c>
      <c r="E178" s="7" t="inlineStr">
        <is>
          <t>EMP-105</t>
        </is>
      </c>
      <c r="F178" s="7" t="inlineStr">
        <is>
          <t>EMP-117</t>
        </is>
      </c>
      <c r="G178" s="66" t="n">
        <v>1</v>
      </c>
      <c r="H178" s="6" t="inlineStr">
        <is>
          <t>Kontorrekvisita - Okt 2026 (Handelshøyskolen)</t>
        </is>
      </c>
      <c r="I178" s="6">
        <f>IF(E178=F178, "BRUDD: Egengodkjenning", IF(G178=0, "MANGLER BILAG", "OK"))</f>
        <v/>
      </c>
    </row>
    <row r="179">
      <c r="A179" s="7" t="inlineStr">
        <is>
          <t>TX-10084</t>
        </is>
      </c>
      <c r="B179" s="7" t="inlineStr">
        <is>
          <t>6800</t>
        </is>
      </c>
      <c r="C179" s="6" t="inlineStr">
        <is>
          <t>Kontorrekvisita - Okt 2026 (Fellesadministrasjon)</t>
        </is>
      </c>
      <c r="D179" s="34" t="n">
        <v>21701.93</v>
      </c>
      <c r="E179" s="7" t="inlineStr">
        <is>
          <t>EMP-112</t>
        </is>
      </c>
      <c r="F179" s="7" t="inlineStr">
        <is>
          <t>EMP-115</t>
        </is>
      </c>
      <c r="G179" s="66" t="n">
        <v>1</v>
      </c>
      <c r="H179" s="6" t="inlineStr">
        <is>
          <t>Kontorrekvisita - Okt 2026 (Fellesadministrasjon)</t>
        </is>
      </c>
      <c r="I179" s="6">
        <f>IF(E179=F179, "BRUDD: Egengodkjenning", IF(G179=0, "MANGLER BILAG", "OK"))</f>
        <v/>
      </c>
    </row>
    <row r="180">
      <c r="A180" s="7" t="inlineStr">
        <is>
          <t>TX-10085</t>
        </is>
      </c>
      <c r="B180" s="7" t="inlineStr">
        <is>
          <t>5000</t>
        </is>
      </c>
      <c r="C180" s="6" t="inlineStr">
        <is>
          <t>Fast Lønn - Okt 2026 (Teknologi og Realfag)</t>
        </is>
      </c>
      <c r="D180" s="34" t="n">
        <v>52126.34</v>
      </c>
      <c r="E180" s="7" t="inlineStr">
        <is>
          <t>EMP-119</t>
        </is>
      </c>
      <c r="F180" s="7" t="inlineStr">
        <is>
          <t>EMP-106</t>
        </is>
      </c>
      <c r="G180" s="66" t="n">
        <v>1</v>
      </c>
      <c r="H180" s="6" t="inlineStr">
        <is>
          <t>Fast Lønn - Okt 2026 (Teknologi og Realfag)</t>
        </is>
      </c>
      <c r="I180" s="6">
        <f>IF(E180=F180, "BRUDD: Egengodkjenning", IF(G180=0, "MANGLER BILAG", "OK"))</f>
        <v/>
      </c>
    </row>
    <row r="181">
      <c r="A181" s="7" t="inlineStr">
        <is>
          <t>TX-10086</t>
        </is>
      </c>
      <c r="B181" s="7" t="inlineStr">
        <is>
          <t>7150</t>
        </is>
      </c>
      <c r="C181" s="6" t="inlineStr">
        <is>
          <t>Utenlandsreise fagkonferanse - Okt 2026 (Helse- og Idrettsvitenskap)</t>
        </is>
      </c>
      <c r="D181" s="34" t="n">
        <v>9340.01</v>
      </c>
      <c r="E181" s="7" t="inlineStr">
        <is>
          <t>EMP-103</t>
        </is>
      </c>
      <c r="F181" s="7" t="inlineStr">
        <is>
          <t>EMP-116</t>
        </is>
      </c>
      <c r="G181" s="66" t="n">
        <v>1</v>
      </c>
      <c r="H181" s="6" t="inlineStr">
        <is>
          <t>Utenlandsreise fagkonferanse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TX-10087</t>
        </is>
      </c>
      <c r="B182" s="7" t="inlineStr">
        <is>
          <t>7130</t>
        </is>
      </c>
      <c r="C182" s="6" t="inlineStr">
        <is>
          <t>Reiseregning fagsamling - Okt 2026 (Handelshøyskolen)</t>
        </is>
      </c>
      <c r="D182" s="34" t="n">
        <v>21536.34</v>
      </c>
      <c r="E182" s="7" t="inlineStr">
        <is>
          <t>EMP-114</t>
        </is>
      </c>
      <c r="F182" s="7" t="inlineStr">
        <is>
          <t>EMP-116</t>
        </is>
      </c>
      <c r="G182" s="66" t="n">
        <v>1</v>
      </c>
      <c r="H182" s="6" t="inlineStr">
        <is>
          <t>Reiseregning fagsamling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TX-10088</t>
        </is>
      </c>
      <c r="B183" s="7" t="inlineStr">
        <is>
          <t>5000</t>
        </is>
      </c>
      <c r="C183" s="6" t="inlineStr">
        <is>
          <t>Fast Lønn - Okt 2026 (Helse- og Idrettsvitenskap)</t>
        </is>
      </c>
      <c r="D183" s="34" t="n">
        <v>41365.01</v>
      </c>
      <c r="E183" s="7" t="inlineStr">
        <is>
          <t>EMP-113</t>
        </is>
      </c>
      <c r="F183" s="7" t="inlineStr">
        <is>
          <t>EMP-116</t>
        </is>
      </c>
      <c r="G183" s="66" t="n">
        <v>1</v>
      </c>
      <c r="H183" s="6" t="inlineStr">
        <is>
          <t>Fast Lønn - Okt 2026 (Helse- og Idrettsvitenskap)</t>
        </is>
      </c>
      <c r="I183" s="6">
        <f>IF(E183=F183, "BRUDD: Egengodkjenning", IF(G183=0, "MANGLER BILAG", "OK"))</f>
        <v/>
      </c>
    </row>
    <row r="184">
      <c r="A184" s="7" t="inlineStr">
        <is>
          <t>TX-10089</t>
        </is>
      </c>
      <c r="B184" s="7" t="inlineStr">
        <is>
          <t>5330</t>
        </is>
      </c>
      <c r="C184" s="6" t="inlineStr">
        <is>
          <t>Sensorhonorarer - Okt 2026 (Handelshøyskolen)</t>
        </is>
      </c>
      <c r="D184" s="34" t="n">
        <v>8393.43</v>
      </c>
      <c r="E184" s="7" t="inlineStr">
        <is>
          <t>EMP-107</t>
        </is>
      </c>
      <c r="F184" s="7" t="inlineStr">
        <is>
          <t>EMP-114</t>
        </is>
      </c>
      <c r="G184" s="66" t="n">
        <v>1</v>
      </c>
      <c r="H184" s="6" t="inlineStr">
        <is>
          <t>Sensorhonorarer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TX-10090</t>
        </is>
      </c>
      <c r="B185" s="7" t="inlineStr">
        <is>
          <t>5330</t>
        </is>
      </c>
      <c r="C185" s="6" t="inlineStr">
        <is>
          <t>Sensorhonorarer - Okt 2026 (Teknologi og Realfag)</t>
        </is>
      </c>
      <c r="D185" s="34" t="n">
        <v>7908.79</v>
      </c>
      <c r="E185" s="7" t="inlineStr">
        <is>
          <t>EMP-114</t>
        </is>
      </c>
      <c r="F185" s="7" t="inlineStr">
        <is>
          <t>EMP-108</t>
        </is>
      </c>
      <c r="G185" s="66" t="n">
        <v>1</v>
      </c>
      <c r="H185" s="6" t="inlineStr">
        <is>
          <t>Sensorhonorarer - Okt 2026 (Teknologi og Realfag)</t>
        </is>
      </c>
      <c r="I185" s="6">
        <f>IF(E185=F185, "BRUDD: Egengodkjenning", IF(G185=0, "MANGLER BILAG", "OK"))</f>
        <v/>
      </c>
    </row>
    <row r="186">
      <c r="A186" s="7" t="inlineStr">
        <is>
          <t>TX-10091</t>
        </is>
      </c>
      <c r="B186" s="7" t="inlineStr">
        <is>
          <t>7150</t>
        </is>
      </c>
      <c r="C186" s="6" t="inlineStr">
        <is>
          <t>Utenlandsreise fagkonferanse - Okt 2026 (Handelshøyskolen)</t>
        </is>
      </c>
      <c r="D186" s="34" t="n">
        <v>23574.3</v>
      </c>
      <c r="E186" s="7" t="inlineStr">
        <is>
          <t>EMP-106</t>
        </is>
      </c>
      <c r="F186" s="7" t="inlineStr">
        <is>
          <t>EMP-111</t>
        </is>
      </c>
      <c r="G186" s="66" t="n">
        <v>1</v>
      </c>
      <c r="H186" s="6" t="inlineStr">
        <is>
          <t>Utenlandsreise fagkonferanse - Okt 2026 (Handelshøyskolen)</t>
        </is>
      </c>
      <c r="I186" s="6">
        <f>IF(E186=F186, "BRUDD: Egengodkjenning", IF(G186=0, "MANGLER BILAG", "OK"))</f>
        <v/>
      </c>
    </row>
    <row r="187">
      <c r="A187" s="7" t="inlineStr">
        <is>
          <t>TX-10092</t>
        </is>
      </c>
      <c r="B187" s="7" t="inlineStr">
        <is>
          <t>5330</t>
        </is>
      </c>
      <c r="C187" s="6" t="inlineStr">
        <is>
          <t>Sensorhonorarer - Okt 2026 (Handelshøyskolen)</t>
        </is>
      </c>
      <c r="D187" s="34" t="n">
        <v>7670.19</v>
      </c>
      <c r="E187" s="7" t="inlineStr">
        <is>
          <t>EMP-108</t>
        </is>
      </c>
      <c r="F187" s="7" t="inlineStr">
        <is>
          <t>EMP-102</t>
        </is>
      </c>
      <c r="G187" s="66" t="n">
        <v>0</v>
      </c>
      <c r="H187" s="6" t="inlineStr">
        <is>
          <t>Sensorhonorarer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TX-10093</t>
        </is>
      </c>
      <c r="B188" s="7" t="inlineStr">
        <is>
          <t>7100</t>
        </is>
      </c>
      <c r="C188" s="6" t="inlineStr">
        <is>
          <t>Bilgodtgjørelse feltarbeid - Okt 2026 (Fellesadministrasjon)</t>
        </is>
      </c>
      <c r="D188" s="34" t="n">
        <v>13758.65</v>
      </c>
      <c r="E188" s="7" t="inlineStr">
        <is>
          <t>EMP-108</t>
        </is>
      </c>
      <c r="F188" s="7" t="inlineStr">
        <is>
          <t>EMP-103</t>
        </is>
      </c>
      <c r="G188" s="66" t="n">
        <v>1</v>
      </c>
      <c r="H188" s="6" t="inlineStr">
        <is>
          <t>Bilgodtgjørelse feltarbeid - Okt 2026 (Fellesadministrasjon)</t>
        </is>
      </c>
      <c r="I188" s="6">
        <f>IF(E188=F188, "BRUDD: Egengodkjenning", IF(G188=0, "MANGLER BILAG", "OK"))</f>
        <v/>
      </c>
    </row>
    <row r="189">
      <c r="A189" s="7" t="inlineStr">
        <is>
          <t>TX-10094</t>
        </is>
      </c>
      <c r="B189" s="7" t="inlineStr">
        <is>
          <t>5000</t>
        </is>
      </c>
      <c r="C189" s="6" t="inlineStr">
        <is>
          <t>Fast Lønn - Okt 2026 (Handelshøyskolen)</t>
        </is>
      </c>
      <c r="D189" s="34" t="n">
        <v>39384.69</v>
      </c>
      <c r="E189" s="7" t="inlineStr">
        <is>
          <t>EMP-117</t>
        </is>
      </c>
      <c r="F189" s="7" t="inlineStr">
        <is>
          <t>EMP-103</t>
        </is>
      </c>
      <c r="G189" s="66" t="n">
        <v>1</v>
      </c>
      <c r="H189" s="6" t="inlineStr">
        <is>
          <t>Fast Lønn - Okt 2026 (Handelshøyskolen)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7" customWidth="1" min="2" max="2"/>
    <col width="22" customWidth="1" min="3" max="3"/>
    <col width="22" customWidth="1" min="4" max="4"/>
    <col width="25" customWidth="1" min="5" max="5"/>
    <col width="21" customWidth="1" min="6" max="6"/>
    <col width="24" customWidth="1" min="7" max="7"/>
  </cols>
  <sheetData>
    <row r="1">
      <c r="A1" s="4" t="inlineStr">
        <is>
          <t>Prosjekt_ID</t>
        </is>
      </c>
      <c r="B1" s="4" t="inlineStr">
        <is>
          <t>Prosjektnavn</t>
        </is>
      </c>
      <c r="C1" s="4" t="inlineStr">
        <is>
          <t>Finansieringskilde</t>
        </is>
      </c>
      <c r="D1" s="4" t="inlineStr">
        <is>
          <t>Totalbudsjett_NOK</t>
        </is>
      </c>
      <c r="E1" s="4" t="inlineStr">
        <is>
          <t>Direkte_Kostnader_NOK</t>
        </is>
      </c>
      <c r="F1" s="4" t="inlineStr">
        <is>
          <t>Overhead_TDI_NOK</t>
        </is>
      </c>
      <c r="G1" s="4" t="inlineStr">
        <is>
          <t>Dekningsgrad_Prosent</t>
        </is>
      </c>
    </row>
    <row r="2">
      <c r="A2" s="6" t="inlineStr">
        <is>
          <t>BOA-2026-01</t>
        </is>
      </c>
      <c r="B2" s="6" t="inlineStr">
        <is>
          <t>NFR Maritim AI</t>
        </is>
      </c>
      <c r="C2" s="6" t="inlineStr">
        <is>
          <t>NFR</t>
        </is>
      </c>
      <c r="D2" s="13" t="n">
        <v>15000000</v>
      </c>
      <c r="E2" s="13" t="n">
        <v>10344828</v>
      </c>
      <c r="F2" s="13" t="n">
        <v>4655172</v>
      </c>
      <c r="G2" s="71" t="n">
        <v>0.45</v>
      </c>
    </row>
    <row r="3">
      <c r="A3" s="6" t="inlineStr">
        <is>
          <t>BOA-2026-02</t>
        </is>
      </c>
      <c r="B3" s="6" t="inlineStr">
        <is>
          <t>EU Horizon Green Energy</t>
        </is>
      </c>
      <c r="C3" s="6" t="inlineStr">
        <is>
          <t>EU Horizon</t>
        </is>
      </c>
      <c r="D3" s="13" t="n">
        <v>25000000</v>
      </c>
      <c r="E3" s="13" t="n">
        <v>17241379</v>
      </c>
      <c r="F3" s="13" t="n">
        <v>7758621</v>
      </c>
      <c r="G3" s="71" t="n">
        <v>0.45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5" customWidth="1" min="3" max="3"/>
    <col width="32" customWidth="1" min="4" max="4"/>
  </cols>
  <sheetData>
    <row r="1">
      <c r="A1" s="4" t="inlineStr">
        <is>
          <t>Konto</t>
        </is>
      </c>
      <c r="B1" s="4" t="inlineStr">
        <is>
          <t>Kontonavn</t>
        </is>
      </c>
      <c r="C1" s="4" t="inlineStr">
        <is>
          <t>Kontoklasse</t>
        </is>
      </c>
      <c r="D1" s="4" t="inlineStr">
        <is>
          <t>Standard_SRS</t>
        </is>
      </c>
    </row>
    <row r="2">
      <c r="A2" s="33" t="n">
        <v>3400</v>
      </c>
      <c r="B2" s="33" t="inlineStr">
        <is>
          <t>Statlig Bevilgning Kap 260 post 50</t>
        </is>
      </c>
      <c r="C2" s="6" t="n">
        <v>3</v>
      </c>
      <c r="D2" s="6" t="inlineStr">
        <is>
          <t>SRS 10 Inntekter</t>
        </is>
      </c>
    </row>
    <row r="3">
      <c r="A3" s="33" t="n">
        <v>5000</v>
      </c>
      <c r="B3" s="33" t="inlineStr">
        <is>
          <t>Fast Lønn &amp; Faste Tillegg</t>
        </is>
      </c>
      <c r="C3" s="6" t="n">
        <v>5</v>
      </c>
      <c r="D3" s="6" t="inlineStr">
        <is>
          <t>SRS 20 Lønnskostnader</t>
        </is>
      </c>
    </row>
    <row r="4">
      <c r="A4" s="33" t="n">
        <v>6000</v>
      </c>
      <c r="B4" s="33" t="inlineStr">
        <is>
          <t>Husleie og Eiendomsdrift</t>
        </is>
      </c>
      <c r="C4" s="6" t="n">
        <v>6</v>
      </c>
      <c r="D4" s="6" t="inlineStr">
        <is>
          <t>SRS 21 Andre driftskostnader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2026-10-04T17:59:47Z</dcterms:created>
  <dcterms:modified xmlns:dcterms="http://purl.org/dc/terms/" xmlns:xsi="http://www.w3.org/2001/XMLSchema-instance" xsi:type="dcterms:W3CDTF">2026-10-04T17:59:47Z</dcterms:modified>
</cp:coreProperties>
</file>