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sheets/sheet11.xml" ContentType="application/vnd.openxmlformats-officedocument.spreadsheetml.worksheet+xml"/>
  <Override PartName="/xl/tables/table5.xml" ContentType="application/vnd.openxmlformats-officedocument.spreadsheetml.table+xml"/>
  <Override PartName="/xl/worksheets/sheet12.xml" ContentType="application/vnd.openxmlformats-officedocument.spreadsheetml.worksheet+xml"/>
  <Override PartName="/xl/tables/table6.xml" ContentType="application/vnd.openxmlformats-officedocument.spreadsheetml.table+xml"/>
  <Override PartName="/xl/worksheets/sheet13.xml" ContentType="application/vnd.openxmlformats-officedocument.spreadsheetml.worksheet+xml"/>
  <Override PartName="/xl/tables/table7.xml" ContentType="application/vnd.openxmlformats-officedocument.spreadsheetml.table+xml"/>
  <Override PartName="/xl/worksheets/sheet14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Navigasjon_Arkitektur" sheetId="1" state="visible" r:id="rId1"/>
    <sheet xmlns:r="http://schemas.openxmlformats.org/officeDocument/2006/relationships" name="01_Executive_Cockpit" sheetId="2" state="visible" r:id="rId2"/>
    <sheet xmlns:r="http://schemas.openxmlformats.org/officeDocument/2006/relationships" name="02_EVM_Prosjektkontroll" sheetId="3" state="visible" r:id="rId3"/>
    <sheet xmlns:r="http://schemas.openxmlformats.org/officeDocument/2006/relationships" name="03_S_Kurve_Tidsserie" sheetId="4" state="visible" r:id="rId4"/>
    <sheet xmlns:r="http://schemas.openxmlformats.org/officeDocument/2006/relationships" name="04_F05_20_Avsetningskalkyle" sheetId="5" state="visible" r:id="rId5"/>
    <sheet xmlns:r="http://schemas.openxmlformats.org/officeDocument/2006/relationships" name="05_Compliance_Internkontroll" sheetId="6" state="visible" r:id="rId6"/>
    <sheet xmlns:r="http://schemas.openxmlformats.org/officeDocument/2006/relationships" name="Dim_Project" sheetId="7" state="visible" r:id="rId7"/>
    <sheet xmlns:r="http://schemas.openxmlformats.org/officeDocument/2006/relationships" name="Dim_Date" sheetId="8" state="visible" r:id="rId8"/>
    <sheet xmlns:r="http://schemas.openxmlformats.org/officeDocument/2006/relationships" name="Dim_Model_Parameter" sheetId="9" state="visible" r:id="rId9"/>
    <sheet xmlns:r="http://schemas.openxmlformats.org/officeDocument/2006/relationships" name="Fact_EVM_Snapshots" sheetId="10" state="visible" r:id="rId10"/>
    <sheet xmlns:r="http://schemas.openxmlformats.org/officeDocument/2006/relationships" name="Fact_UBW_Audit" sheetId="11" state="visible" r:id="rId11"/>
    <sheet xmlns:r="http://schemas.openxmlformats.org/officeDocument/2006/relationships" name="Fact_Travel_Audit" sheetId="12" state="visible" r:id="rId12"/>
    <sheet xmlns:r="http://schemas.openxmlformats.org/officeDocument/2006/relationships" name="Fact_Project_BOA" sheetId="13" state="visible" r:id="rId13"/>
    <sheet xmlns:r="http://schemas.openxmlformats.org/officeDocument/2006/relationships" name="Dim_Kontoplan_2026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NOK&quot;"/>
    <numFmt numFmtId="165" formatCode="0.0%"/>
  </numFmts>
  <fonts count="14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475569"/>
      <sz val="10"/>
    </font>
    <font>
      <name val="Segoe UI"/>
      <b val="1"/>
      <color rgb="000F172A"/>
      <sz val="12"/>
    </font>
    <font>
      <name val="Segoe UI"/>
      <b val="1"/>
      <color rgb="00FFFFFF"/>
      <sz val="10"/>
    </font>
    <font>
      <name val="Segoe UI"/>
      <b val="1"/>
      <color rgb="000F172A"/>
      <sz val="10"/>
    </font>
    <font>
      <name val="Segoe UI"/>
      <color rgb="001E293B"/>
      <sz val="10"/>
    </font>
    <font>
      <name val="Consolas"/>
      <color rgb="000F172A"/>
      <sz val="9"/>
    </font>
    <font>
      <name val="Segoe UI"/>
      <color rgb="000284C7"/>
      <sz val="10"/>
      <u val="single"/>
    </font>
    <font>
      <name val="Segoe UI"/>
      <b val="1"/>
      <color rgb="00065F46"/>
      <sz val="10"/>
    </font>
    <font>
      <name val="Segoe UI"/>
      <b val="1"/>
      <color rgb="00991B1B"/>
      <sz val="10"/>
    </font>
    <font>
      <name val="Segoe UI"/>
      <b val="1"/>
      <color rgb="000369A1"/>
      <sz val="11"/>
    </font>
    <font>
      <name val="Segoe UI"/>
      <b val="1"/>
      <color rgb="0092400E"/>
      <sz val="10"/>
    </font>
    <font>
      <name val="Segoe UI"/>
      <b val="1"/>
      <color rgb="000369A1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EE2E2"/>
        <bgColor rgb="00FEE2E2"/>
      </patternFill>
    </fill>
    <fill>
      <patternFill patternType="solid">
        <fgColor rgb="00E0F2FE"/>
        <bgColor rgb="00E0F2FE"/>
      </patternFill>
    </fill>
    <fill>
      <patternFill patternType="solid">
        <fgColor rgb="00D1FAE5"/>
        <bgColor rgb="00D1FAE5"/>
      </patternFill>
    </fill>
    <fill>
      <patternFill patternType="solid">
        <fgColor rgb="00F1F5F9"/>
        <bgColor rgb="00F1F5F9"/>
      </patternFill>
    </fill>
  </fills>
  <borders count="4">
    <border>
      <left/>
      <right/>
      <top/>
      <bottom/>
      <diagonal/>
    </border>
    <border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4" fillId="3" borderId="0" pivotButton="0" quotePrefix="0" xfId="0"/>
    <xf numFmtId="0" fontId="8" fillId="0" borderId="1" pivotButton="0" quotePrefix="0" xfId="0"/>
    <xf numFmtId="164" fontId="5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9" fillId="0" borderId="1" pivotButton="0" quotePrefix="0" xfId="0"/>
    <xf numFmtId="0" fontId="5" fillId="4" borderId="1" pivotButton="0" quotePrefix="0" xfId="0"/>
    <xf numFmtId="164" fontId="10" fillId="4" borderId="1" applyAlignment="1" pivotButton="0" quotePrefix="0" xfId="0">
      <alignment horizontal="right"/>
    </xf>
    <xf numFmtId="164" fontId="6" fillId="4" borderId="1" applyAlignment="1" pivotButton="0" quotePrefix="0" xfId="0">
      <alignment horizontal="right"/>
    </xf>
    <xf numFmtId="0" fontId="10" fillId="4" borderId="1" pivotButton="0" quotePrefix="0" xfId="0"/>
    <xf numFmtId="0" fontId="6" fillId="4" borderId="1" pivotButton="0" quotePrefix="0" xfId="0"/>
    <xf numFmtId="2" fontId="10" fillId="4" borderId="1" applyAlignment="1" pivotButton="0" quotePrefix="0" xfId="0">
      <alignment horizontal="right"/>
    </xf>
    <xf numFmtId="2" fontId="6" fillId="4" borderId="1" applyAlignment="1" pivotButton="0" quotePrefix="0" xfId="0">
      <alignment horizontal="right"/>
    </xf>
    <xf numFmtId="2" fontId="10" fillId="0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0" fontId="10" fillId="0" borderId="1" pivotButton="0" quotePrefix="0" xfId="0"/>
    <xf numFmtId="165" fontId="10" fillId="4" borderId="1" applyAlignment="1" pivotButton="0" quotePrefix="0" xfId="0">
      <alignment horizontal="right"/>
    </xf>
    <xf numFmtId="165" fontId="6" fillId="4" borderId="1" applyAlignment="1" pivotButton="0" quotePrefix="0" xfId="0">
      <alignment horizontal="right"/>
    </xf>
    <xf numFmtId="0" fontId="5" fillId="0" borderId="0" pivotButton="0" quotePrefix="0" xfId="0"/>
    <xf numFmtId="0" fontId="11" fillId="5" borderId="2" applyAlignment="1" pivotButton="0" quotePrefix="0" xfId="0">
      <alignment horizontal="center"/>
    </xf>
    <xf numFmtId="0" fontId="12" fillId="0" borderId="1" pivotButton="0" quotePrefix="0" xfId="0"/>
    <xf numFmtId="0" fontId="4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right"/>
    </xf>
    <xf numFmtId="0" fontId="7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0" fontId="9" fillId="6" borderId="1" applyAlignment="1" pivotButton="0" quotePrefix="0" xfId="0">
      <alignment horizontal="center"/>
    </xf>
    <xf numFmtId="0" fontId="10" fillId="4" borderId="1" applyAlignment="1" pivotButton="0" quotePrefix="0" xfId="0">
      <alignment horizontal="center"/>
    </xf>
    <xf numFmtId="0" fontId="5" fillId="7" borderId="3" pivotButton="0" quotePrefix="0" xfId="0"/>
    <xf numFmtId="164" fontId="5" fillId="7" borderId="3" applyAlignment="1" pivotButton="0" quotePrefix="0" xfId="0">
      <alignment horizontal="right"/>
    </xf>
    <xf numFmtId="2" fontId="5" fillId="7" borderId="3" applyAlignment="1" pivotButton="0" quotePrefix="0" xfId="0">
      <alignment horizontal="right"/>
    </xf>
    <xf numFmtId="0" fontId="5" fillId="7" borderId="3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164" fontId="5" fillId="7" borderId="1" applyAlignment="1" pivotButton="0" quotePrefix="0" xfId="0">
      <alignment horizontal="right"/>
    </xf>
    <xf numFmtId="2" fontId="5" fillId="7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164" fontId="13" fillId="5" borderId="2" applyAlignment="1" pivotButton="0" quotePrefix="0" xfId="0">
      <alignment horizontal="right"/>
    </xf>
    <xf numFmtId="0" fontId="0" fillId="7" borderId="3" pivotButton="0" quotePrefix="0" xfId="0"/>
    <xf numFmtId="0" fontId="5" fillId="7" borderId="1" pivotButton="0" quotePrefix="0" xfId="0"/>
    <xf numFmtId="165" fontId="5" fillId="7" borderId="1" applyAlignment="1" pivotButton="0" quotePrefix="0" xfId="0">
      <alignment horizontal="right"/>
    </xf>
    <xf numFmtId="0" fontId="5" fillId="6" borderId="1" pivotButton="0" quotePrefix="0" xfId="0"/>
    <xf numFmtId="49" fontId="9" fillId="6" borderId="1" applyAlignment="1" pivotButton="0" quotePrefix="0" xfId="0">
      <alignment horizontal="left"/>
    </xf>
    <xf numFmtId="165" fontId="5" fillId="6" borderId="1" applyAlignment="1" pivotButton="0" quotePrefix="0" xfId="0">
      <alignment horizontal="right"/>
    </xf>
    <xf numFmtId="3" fontId="6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0" fontId="5" fillId="4" borderId="3" pivotButton="0" quotePrefix="0" xfId="0"/>
    <xf numFmtId="3" fontId="6" fillId="4" borderId="3" applyAlignment="1" pivotButton="0" quotePrefix="0" xfId="0">
      <alignment horizontal="right"/>
    </xf>
    <xf numFmtId="3" fontId="10" fillId="4" borderId="3" applyAlignment="1" pivotButton="0" quotePrefix="0" xfId="0">
      <alignment horizontal="right"/>
    </xf>
    <xf numFmtId="164" fontId="10" fillId="4" borderId="3" applyAlignment="1" pivotButton="0" quotePrefix="0" xfId="0">
      <alignment horizontal="right"/>
    </xf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right"/>
    </xf>
    <xf numFmtId="164" fontId="0" fillId="0" borderId="1" pivotButton="0" quotePrefix="0" xfId="0"/>
    <xf numFmtId="3" fontId="0" fillId="0" borderId="1" pivotButton="0" quotePrefix="0" xfId="0"/>
    <xf numFmtId="0" fontId="7" fillId="4" borderId="1" pivotButton="0" quotePrefix="0" xfId="0"/>
    <xf numFmtId="164" fontId="0" fillId="4" borderId="1" pivotButton="0" quotePrefix="0" xfId="0"/>
    <xf numFmtId="3" fontId="0" fillId="4" borderId="1" pivotButton="0" quotePrefix="0" xfId="0"/>
    <xf numFmtId="3" fontId="0" fillId="7" borderId="3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Kumulativ EVM S-Kurve 2026 (Portefølje PV vs. EV vs. AC)</a:t>
            </a:r>
          </a:p>
        </rich>
      </tx>
    </title>
    <plotArea>
      <lineChart>
        <grouping val="standard"/>
        <ser>
          <idx val="0"/>
          <order val="0"/>
          <tx>
            <strRef>
              <f>'03_S_Kurve_Tidsserie'!C4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'03_S_Kurve_Tidsserie'!$A$5:$A$14</f>
            </numRef>
          </cat>
          <val>
            <numRef>
              <f>'03_S_Kurve_Tidsserie'!$C$5:$C$14</f>
            </numRef>
          </val>
        </ser>
        <ser>
          <idx val="1"/>
          <order val="1"/>
          <tx>
            <strRef>
              <f>'03_S_Kurve_Tidsserie'!D4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'03_S_Kurve_Tidsserie'!$A$5:$A$14</f>
            </numRef>
          </cat>
          <val>
            <numRef>
              <f>'03_S_Kurve_Tidsserie'!$D$5:$D$14</f>
            </numRef>
          </val>
        </ser>
        <ser>
          <idx val="2"/>
          <order val="2"/>
          <tx>
            <strRef>
              <f>'03_S_Kurve_Tidsserie'!E4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'03_S_Kurve_Tidsserie'!$A$5:$A$14</f>
            </numRef>
          </cat>
          <val>
            <numRef>
              <f>'03_S_Kurve_Tidsserie'!$E$5:$E$14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Beløp (NOK)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Dim_Project" displayName="tbl_Dim_Project" ref="A1:G10" headerRowCount="1">
  <autoFilter ref="A1:G10"/>
  <tableColumns count="7">
    <tableColumn id="1" name="project_id"/>
    <tableColumn id="2" name="project_name"/>
    <tableColumn id="3" name="department"/>
    <tableColumn id="4" name="pm_name"/>
    <tableColumn id="5" name="category"/>
    <tableColumn id="6" name="bac"/>
    <tableColumn id="7" name="status"/>
  </tableColumns>
  <tableStyleInfo name="TableStyleLight1" showFirstColumn="0" showLastColumn="0" showRowStripes="1"/>
</table>
</file>

<file path=xl/tables/table2.xml><?xml version="1.0" encoding="utf-8"?>
<table xmlns="http://schemas.openxmlformats.org/spreadsheetml/2006/main" id="2" name="tbl_Dim_Date" displayName="tbl_Dim_Date" ref="A1:F366" headerRowCount="1">
  <autoFilter ref="A1:F366"/>
  <tableColumns count="6">
    <tableColumn id="1" name="Date"/>
    <tableColumn id="2" name="Year"/>
    <tableColumn id="3" name="Month"/>
    <tableColumn id="4" name="MonthName"/>
    <tableColumn id="5" name="ReportingPeriod"/>
    <tableColumn id="6" name="Quarter"/>
  </tableColumns>
  <tableStyleInfo name="TableStyleLight1" showFirstColumn="0" showLastColumn="0" showRowStripes="1"/>
</table>
</file>

<file path=xl/tables/table3.xml><?xml version="1.0" encoding="utf-8"?>
<table xmlns="http://schemas.openxmlformats.org/spreadsheetml/2006/main" id="3" name="tbl_Dim_Parameters" displayName="tbl_Dim_Parameters" ref="A1:F4" headerRowCount="1">
  <autoFilter ref="A1:F4"/>
  <tableColumns count="6">
    <tableColumn id="1" name="ModelCode"/>
    <tableColumn id="2" name="ModelName"/>
    <tableColumn id="3" name="Formula_Logic"/>
    <tableColumn id="4" name="Cost_Weight"/>
    <tableColumn id="5" name="Schedule_Weight"/>
    <tableColumn id="6" name="Description"/>
  </tableColumns>
  <tableStyleInfo name="TableStyleLight1" showFirstColumn="0" showLastColumn="0" showRowStripes="1"/>
</table>
</file>

<file path=xl/tables/table4.xml><?xml version="1.0" encoding="utf-8"?>
<table xmlns="http://schemas.openxmlformats.org/spreadsheetml/2006/main" id="4" name="tbl_Fact_EVM" displayName="tbl_Fact_EVM" ref="A1:O14" headerRowCount="1">
  <autoFilter ref="A1:O14"/>
  <tableColumns count="15">
    <tableColumn id="1" name="reporting_period"/>
    <tableColumn id="2" name="snapshot_timestamp"/>
    <tableColumn id="3" name="project_id"/>
    <tableColumn id="4" name="bac"/>
    <tableColumn id="5" name="pv"/>
    <tableColumn id="6" name="ev"/>
    <tableColumn id="7" name="ac"/>
    <tableColumn id="8" name="cpi"/>
    <tableColumn id="9" name="spi"/>
    <tableColumn id="10" name="eac_cpi"/>
    <tableColumn id="11" name="eac_composite"/>
    <tableColumn id="12" name="eac_weighted"/>
    <tableColumn id="13" name="vac"/>
    <tableColumn id="14" name="tcpi"/>
    <tableColumn id="15" name="status"/>
  </tableColumns>
  <tableStyleInfo name="TableStyleLight1" showFirstColumn="0" showLastColumn="0" showRowStripes="1"/>
</table>
</file>

<file path=xl/tables/table5.xml><?xml version="1.0" encoding="utf-8"?>
<table xmlns="http://schemas.openxmlformats.org/spreadsheetml/2006/main" id="5" name="tbl_Fact_UBW" displayName="tbl_Fact_UBW" ref="A1:I93" headerRowCount="1">
  <autoFilter ref="A1:I93"/>
  <tableColumns count="9">
    <tableColumn id="1" name="transaksjon_id"/>
    <tableColumn id="2" name="konto"/>
    <tableColumn id="3" name="beskrivelse"/>
    <tableColumn id="4" name="belop_nok"/>
    <tableColumn id="5" name="bdm_id"/>
    <tableColumn id="6" name="attestant_id"/>
    <tableColumn id="7" name="kvittering_vedlagt"/>
    <tableColumn id="8" name="formaal"/>
    <tableColumn id="9" name="Kontrollflagg"/>
  </tableColumns>
  <tableStyleInfo name="TableStyleLight1" showFirstColumn="0" showLastColumn="0" showRowStripes="1"/>
</table>
</file>

<file path=xl/tables/table6.xml><?xml version="1.0" encoding="utf-8"?>
<table xmlns="http://schemas.openxmlformats.org/spreadsheetml/2006/main" id="6" name="tbl_Fact_Travel" displayName="tbl_Fact_Travel" ref="A1:N16" headerRowCount="1">
  <autoFilter ref="A1:N16"/>
  <tableColumns count="14">
    <tableColumn id="1" name="Reise-ID"/>
    <tableColumn id="2" name="Ansatt Navn"/>
    <tableColumn id="3" name="Dato"/>
    <tableColumn id="4" name="Formål"/>
    <tableColumn id="5" name="Beløp (NOK)"/>
    <tableColumn id="6" name="Måltid Dekket"/>
    <tableColumn id="7" name="Fradrag Utført"/>
    <tableColumn id="8" name="Km Godtgj."/>
    <tableColumn id="9" name="Kvittering"/>
    <tableColumn id="10" name="BDM ID"/>
    <tableColumn id="11" name="Attestant ID"/>
    <tableColumn id="12" name="Avviksbeskrivelse"/>
    <tableColumn id="13" name="Audit Status"/>
    <tableColumn id="14" name="Sperret i Unit4?"/>
  </tableColumns>
  <tableStyleInfo name="TableStyleLight1" showFirstColumn="0" showLastColumn="0" showRowStripes="1"/>
</table>
</file>

<file path=xl/tables/table7.xml><?xml version="1.0" encoding="utf-8"?>
<table xmlns="http://schemas.openxmlformats.org/spreadsheetml/2006/main" id="7" name="tbl_Fact_BOA" displayName="tbl_Fact_BOA" ref="A1:R7" headerRowCount="1">
  <autoFilter ref="A1:R7"/>
  <tableColumns count="18">
    <tableColumn id="1" name="Prosjekt"/>
    <tableColumn id="2" name="Prosjektnavn"/>
    <tableColumn id="3" name="Finansieringstype"/>
    <tableColumn id="4" name="Finansieringskilde"/>
    <tableColumn id="5" name="Kontraktsbelop"/>
    <tableColumn id="6" name="Budsjett"/>
    <tableColumn id="7" name="Frikjop"/>
    <tableColumn id="8" name="DirekteDrift"/>
    <tableColumn id="9" name="Overhead"/>
    <tableColumn id="10" name="Leiested"/>
    <tableColumn id="11" name="PåløptKostnad"/>
    <tableColumn id="12" name="Inntektsført"/>
    <tableColumn id="13" name="Dekningsgrad"/>
    <tableColumn id="14" name="%TidGått"/>
    <tableColumn id="15" name="%BudsjettForbrukt"/>
    <tableColumn id="16" name="Forbruksavvik"/>
    <tableColumn id="17" name="RAG_Status"/>
    <tableColumn id="18" name="StatusMerknad"/>
  </tableColumns>
  <tableStyleInfo name="TableStyleLight1" showFirstColumn="0" showLastColumn="0" showRowStripes="1"/>
</table>
</file>

<file path=xl/tables/table8.xml><?xml version="1.0" encoding="utf-8"?>
<table xmlns="http://schemas.openxmlformats.org/spreadsheetml/2006/main" id="8" name="tbl_Dim_Kontoplan" displayName="tbl_Dim_Kontoplan" ref="A1:H30" headerRowCount="1">
  <autoFilter ref="A1:H30"/>
  <tableColumns count="8">
    <tableColumn id="1" name="Konto"/>
    <tableColumn id="2" name="StandardKonto3"/>
    <tableColumn id="3" name="Kontonavn"/>
    <tableColumn id="4" name="Kontoklasse"/>
    <tableColumn id="5" name="Kontogruppe"/>
    <tableColumn id="6" name="Kontotype"/>
    <tableColumn id="7" name="SRS_regnskapslinje"/>
    <tableColumn id="8" name="AktuellFor"/>
  </tableColumns>
  <tableStyleInfo name="TableStyleLight1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1" workbookViewId="0">
      <selection activeCell="A1" sqref="A1"/>
    </sheetView>
  </sheetViews>
  <sheetFormatPr baseColWidth="8" defaultRowHeight="15"/>
  <cols>
    <col width="107" customWidth="1" min="1" max="1"/>
    <col width="42" customWidth="1" min="2" max="2"/>
    <col width="81" customWidth="1" min="3" max="3"/>
    <col width="70" customWidth="1" min="4" max="4"/>
  </cols>
  <sheetData>
    <row r="1">
      <c r="A1" s="1" t="inlineStr">
        <is>
          <t>UiA Handelshøyskolen — Enterprise Financial Controlling &amp; EVM Data Model</t>
        </is>
      </c>
    </row>
    <row r="2">
      <c r="A2" s="2" t="inlineStr">
        <is>
          <t>Regnskapsår: 2026 | Modellversjon: v12 Canonical | Ansvarlig: Frank Ellingsen (Lead Project Controller)</t>
        </is>
      </c>
    </row>
    <row r="3"/>
    <row r="4">
      <c r="A4" s="3" t="inlineStr">
        <is>
          <t>System- &amp; Integrasjonsparametere</t>
        </is>
      </c>
    </row>
    <row r="5">
      <c r="A5" s="4" t="inlineStr">
        <is>
          <t>Parameter / Konfigurasjon</t>
        </is>
      </c>
      <c r="B5" s="4" t="inlineStr">
        <is>
          <t>Verdi / Status</t>
        </is>
      </c>
      <c r="C5" s="4" t="inlineStr">
        <is>
          <t>Teknisk Kilde</t>
        </is>
      </c>
      <c r="D5" s="4" t="inlineStr">
        <is>
          <t>Beskrivelse</t>
        </is>
      </c>
    </row>
    <row r="6">
      <c r="A6" s="5" t="inlineStr">
        <is>
          <t>Datamodell Arkitektur</t>
        </is>
      </c>
      <c r="B6" s="6" t="inlineStr">
        <is>
          <t>Stjerneskjema (Star Schema 1:N / M:N)</t>
        </is>
      </c>
      <c r="C6" s="7" t="inlineStr">
        <is>
          <t>Parquet / DuckDB / SQLite</t>
        </is>
      </c>
      <c r="D6" s="6" t="inlineStr">
        <is>
          <t>Relasjonell modell for dimensjoner og faktatabeller</t>
        </is>
      </c>
    </row>
    <row r="7">
      <c r="A7" s="5" t="inlineStr">
        <is>
          <t>Transaksjonsdatabase</t>
        </is>
      </c>
      <c r="B7" s="6" t="inlineStr">
        <is>
          <t>SQLite (projects.db)</t>
        </is>
      </c>
      <c r="C7" s="7" t="inlineStr">
        <is>
          <t>ubw_transactions &amp; evm_projects</t>
        </is>
      </c>
      <c r="D7" s="6" t="inlineStr">
        <is>
          <t>Operasjonell registrering av prosjektdata og hovedboksposter</t>
        </is>
      </c>
    </row>
    <row r="8">
      <c r="A8" s="5" t="inlineStr">
        <is>
          <t>Analytisk Tidsrekke-motor</t>
        </is>
      </c>
      <c r="B8" s="6" t="inlineStr">
        <is>
          <t>DuckDB (analytics_snapshots.duckdb)</t>
        </is>
      </c>
      <c r="C8" s="7" t="inlineStr">
        <is>
          <t>evm_snapshots</t>
        </is>
      </c>
      <c r="D8" s="6" t="inlineStr">
        <is>
          <t>Tidsstempling og historiske snapshots for prosjektporteføljen</t>
        </is>
      </c>
    </row>
    <row r="9">
      <c r="A9" s="5" t="inlineStr">
        <is>
          <t>Regelverksstandarder</t>
        </is>
      </c>
      <c r="B9" s="6" t="inlineStr">
        <is>
          <t>Statens Kontoplan (R-102) &amp; KD F-05-20</t>
        </is>
      </c>
      <c r="C9" s="7" t="inlineStr">
        <is>
          <t>SRS / DFØ Veiledere</t>
        </is>
      </c>
      <c r="D9" s="6" t="inlineStr">
        <is>
          <t>5,0 % overføringstak og 4-øyne attestasjonskrav</t>
        </is>
      </c>
    </row>
    <row r="10">
      <c r="A10" s="5" t="inlineStr">
        <is>
          <t>Basis Rammebevilgning (Kap. 260)</t>
        </is>
      </c>
      <c r="B10" s="8" t="n">
        <v>1200000000</v>
      </c>
      <c r="C10" s="7" t="inlineStr">
        <is>
          <t>Statsbudsjettet Prop. 1 S</t>
        </is>
      </c>
      <c r="D10" s="6" t="inlineStr">
        <is>
          <t>Årlig tildelt grunnbevilgning for universitetet</t>
        </is>
      </c>
    </row>
    <row r="11">
      <c r="A11" s="5" t="inlineStr">
        <is>
          <t>Statlig Lønns- og Prisvekst (Deflator)</t>
        </is>
      </c>
      <c r="B11" s="9" t="n">
        <v>0.039</v>
      </c>
      <c r="C11" s="7" t="inlineStr">
        <is>
          <t>Finansdepartementet RNB</t>
        </is>
      </c>
      <c r="D11" s="6" t="inlineStr">
        <is>
          <t>Budsjettmessig justeringsfaktor for 2026</t>
        </is>
      </c>
    </row>
    <row r="12">
      <c r="A12" s="5" t="inlineStr">
        <is>
          <t>Power BI Integrasjon</t>
        </is>
      </c>
      <c r="B12" s="6" t="inlineStr">
        <is>
          <t>Controller project.pbip (TMDL 1606)</t>
        </is>
      </c>
      <c r="C12" s="7" t="inlineStr">
        <is>
          <t>Power BI Desktop DevMode</t>
        </is>
      </c>
      <c r="D12" s="6" t="inlineStr">
        <is>
          <t>Direkte synkronisering med Parquet staging filer</t>
        </is>
      </c>
    </row>
    <row r="13"/>
    <row r="14"/>
    <row r="15">
      <c r="A15" s="3" t="inlineStr">
        <is>
          <t>Arbeidsbokens Innholdsfortegnelse &amp; Hurtignavigasjon</t>
        </is>
      </c>
    </row>
    <row r="16">
      <c r="A16" s="10" t="inlineStr">
        <is>
          <t>Fane Navn</t>
        </is>
      </c>
      <c r="B16" s="10" t="inlineStr">
        <is>
          <t>Område</t>
        </is>
      </c>
      <c r="C16" s="10" t="inlineStr">
        <is>
          <t>Innhold &amp; Funksjonalitet</t>
        </is>
      </c>
      <c r="D16" s="10" t="inlineStr">
        <is>
          <t>Hyperlenke</t>
        </is>
      </c>
    </row>
    <row r="17">
      <c r="A17" s="5" t="inlineStr">
        <is>
          <t>01_Executive_Cockpit</t>
        </is>
      </c>
      <c r="B17" s="6" t="inlineStr">
        <is>
          <t>Ledelse</t>
        </is>
      </c>
      <c r="C17" s="6" t="inlineStr">
        <is>
          <t>Hoveddashboard med KPI-kort, dynamisk EAC-velger og tiltaksplan</t>
        </is>
      </c>
      <c r="D17" s="11">
        <f>HYPERLINK("#'01_Executive_Cockpit'!A1", "Gå til fane -&gt;")</f>
        <v/>
      </c>
    </row>
    <row r="18">
      <c r="A18" s="5" t="inlineStr">
        <is>
          <t>02_EVM_Prosjektkontroll</t>
        </is>
      </c>
      <c r="B18" s="6" t="inlineStr">
        <is>
          <t>Prosjektstyring</t>
        </is>
      </c>
      <c r="C18" s="6" t="inlineStr">
        <is>
          <t>Prosjekt-for-prosjekt EVM analyse med CPI, SPI, EAC-modeller og TCPI</t>
        </is>
      </c>
      <c r="D18" s="11">
        <f>HYPERLINK("#'02_EVM_Prosjektkontroll'!A1", "Gå til fane -&gt;")</f>
        <v/>
      </c>
    </row>
    <row r="19">
      <c r="A19" s="5" t="inlineStr">
        <is>
          <t>03_S_Kurve_Tidsserie</t>
        </is>
      </c>
      <c r="B19" s="6" t="inlineStr">
        <is>
          <t>Tidsserier</t>
        </is>
      </c>
      <c r="C19" s="6" t="inlineStr">
        <is>
          <t>Månedlig kumulativ PV/EV/AC historikk og visuell S-kurve for 2026</t>
        </is>
      </c>
      <c r="D19" s="11">
        <f>HYPERLINK("#'03_S_Kurve_Tidsserie'!A1", "Gå til fane -&gt;")</f>
        <v/>
      </c>
    </row>
    <row r="20">
      <c r="A20" s="5" t="inlineStr">
        <is>
          <t>04_F05_20_Avsetningskalkyle</t>
        </is>
      </c>
      <c r="B20" s="6" t="inlineStr">
        <is>
          <t>Statlig Regelverk</t>
        </is>
      </c>
      <c r="C20" s="6" t="inlineStr">
        <is>
          <t>5 % driftsavsetningstak, 12M NOK overskridelse og interaktiv tiltakssimulator</t>
        </is>
      </c>
      <c r="D20" s="11">
        <f>HYPERLINK("#'04_F05_20_Avsetningskalkyle'!A1", "Gå til fane -&gt;")</f>
        <v/>
      </c>
    </row>
    <row r="21">
      <c r="A21" s="5" t="inlineStr">
        <is>
          <t>05_Compliance_Internkontroll</t>
        </is>
      </c>
      <c r="B21" s="6" t="inlineStr">
        <is>
          <t>Revisjon</t>
        </is>
      </c>
      <c r="C21" s="6" t="inlineStr">
        <is>
          <t>DFØ reiseregningskontroll og UBW hovedboksrevisjon med sperreflagg</t>
        </is>
      </c>
      <c r="D21" s="11">
        <f>HYPERLINK("#'05_Compliance_Internkontroll'!A1", "Gå til fane -&gt;")</f>
        <v/>
      </c>
    </row>
    <row r="22">
      <c r="A22" s="5" t="inlineStr">
        <is>
          <t>Dim_Project</t>
        </is>
      </c>
      <c r="B22" s="6" t="inlineStr">
        <is>
          <t>Datamodell</t>
        </is>
      </c>
      <c r="C22" s="6" t="inlineStr">
        <is>
          <t>Prosjekt-stamdata og autoriserte budsjettrammer (tbl_Dim_Project)</t>
        </is>
      </c>
      <c r="D22" s="11">
        <f>HYPERLINK("#'Dim_Project'!A1", "Gå til fane -&gt;")</f>
        <v/>
      </c>
    </row>
    <row r="23">
      <c r="A23" s="5" t="inlineStr">
        <is>
          <t>Dim_Date</t>
        </is>
      </c>
      <c r="B23" s="6" t="inlineStr">
        <is>
          <t>Datamodell</t>
        </is>
      </c>
      <c r="C23" s="6" t="inlineStr">
        <is>
          <t>Dato- og periodekalender for 2026 (tbl_Dim_Date)</t>
        </is>
      </c>
      <c r="D23" s="11">
        <f>HYPERLINK("#'Dim_Date'!A1", "Gå til fane -&gt;")</f>
        <v/>
      </c>
    </row>
    <row r="24">
      <c r="A24" s="5" t="inlineStr">
        <is>
          <t>Dim_Model_Parameter</t>
        </is>
      </c>
      <c r="B24" s="6" t="inlineStr">
        <is>
          <t>Datamodell</t>
        </is>
      </c>
      <c r="C24" s="6" t="inlineStr">
        <is>
          <t>Parametertabell for EAC-framskrivingsmodeller (tbl_Dim_Parameters)</t>
        </is>
      </c>
      <c r="D24" s="11">
        <f>HYPERLINK("#'Dim_Model_Parameter'!A1", "Gå til fane -&gt;")</f>
        <v/>
      </c>
    </row>
    <row r="25">
      <c r="A25" s="5" t="inlineStr">
        <is>
          <t>Fact_EVM_Snapshots</t>
        </is>
      </c>
      <c r="B25" s="6" t="inlineStr">
        <is>
          <t>Datamodell</t>
        </is>
      </c>
      <c r="C25" s="6" t="inlineStr">
        <is>
          <t>Historiske EVM månedssnapshots fra DuckDB (tbl_Fact_EVM)</t>
        </is>
      </c>
      <c r="D25" s="11">
        <f>HYPERLINK("#'Fact_EVM_Snapshots'!A1", "Gå til fane -&gt;")</f>
        <v/>
      </c>
    </row>
    <row r="26">
      <c r="A26" s="5" t="inlineStr">
        <is>
          <t>Fact_UBW_Audit</t>
        </is>
      </c>
      <c r="B26" s="6" t="inlineStr">
        <is>
          <t>Datamodell</t>
        </is>
      </c>
      <c r="C26" s="6" t="inlineStr">
        <is>
          <t>UBW hovedboksposteringer med automatiserte kontrollflagg (tbl_Fact_UBW)</t>
        </is>
      </c>
      <c r="D26" s="11">
        <f>HYPERLINK("#'Fact_UBW_Audit'!A1", "Gå til fane -&gt;")</f>
        <v/>
      </c>
    </row>
    <row r="27">
      <c r="A27" s="5" t="inlineStr">
        <is>
          <t>Fact_Travel_Audit</t>
        </is>
      </c>
      <c r="B27" s="6" t="inlineStr">
        <is>
          <t>Datamodell</t>
        </is>
      </c>
      <c r="C27" s="6" t="inlineStr">
        <is>
          <t>15 DFØ reiseregninger med atestasjons- og måltidskontroll (tbl_Fact_Travel)</t>
        </is>
      </c>
      <c r="D27" s="11">
        <f>HYPERLINK("#'Fact_Travel_Audit'!A1", "Gå til fane -&gt;")</f>
        <v/>
      </c>
    </row>
    <row r="28">
      <c r="A28" s="5" t="inlineStr">
        <is>
          <t>Fact_Project_BOA</t>
        </is>
      </c>
      <c r="B28" s="6" t="inlineStr">
        <is>
          <t>Datamodell</t>
        </is>
      </c>
      <c r="C28" s="6" t="inlineStr">
        <is>
          <t>Bidrags- og oppdragsforskning (NFR, EU, Oppdrag) med overhead (tbl_Fact_BOA)</t>
        </is>
      </c>
      <c r="D28" s="11">
        <f>HYPERLINK("#'Fact_Project_BOA'!A1", "Gå til fane -&gt;")</f>
        <v/>
      </c>
    </row>
    <row r="29">
      <c r="A29" s="5" t="inlineStr">
        <is>
          <t>Dim_Kontoplan_2026</t>
        </is>
      </c>
      <c r="B29" s="6" t="inlineStr">
        <is>
          <t>Datamodell</t>
        </is>
      </c>
      <c r="C29" s="6" t="inlineStr">
        <is>
          <t>Statens Standard Kontoplan (R-102) med SRS-koblinger (tbl_Dim_Kontoplan)</t>
        </is>
      </c>
      <c r="D29" s="11">
        <f>HYPERLINK("#'Dim_Kontoplan_2026'!A1", "Gå til fane -&gt;")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/>
  <cols>
    <col width="94" customWidth="1" min="1" max="1"/>
    <col width="47" customWidth="1" min="2" max="2"/>
    <col width="94" customWidth="1" min="3" max="3"/>
    <col width="90" customWidth="1" min="4" max="4"/>
    <col width="71" customWidth="1" min="5" max="5"/>
    <col width="14" customWidth="1" min="6" max="6"/>
  </cols>
  <sheetData>
    <row r="1">
      <c r="A1" s="1" t="inlineStr">
        <is>
          <t>Executive Project Controlling Cockpit</t>
        </is>
      </c>
    </row>
    <row r="2">
      <c r="A2" s="2" t="inlineStr">
        <is>
          <t>Overordnet ledelsesrapport for Fakultetsdirektør og Dekan | Rapporteringsmåned: 2026-M10</t>
        </is>
      </c>
    </row>
    <row r="3"/>
    <row r="4">
      <c r="A4" s="3" t="inlineStr">
        <is>
          <t>Kritiske Styrings-KPI-er (Dynamisk aggregert fra prosjektmodellen)</t>
        </is>
      </c>
    </row>
    <row r="5">
      <c r="A5" s="4" t="inlineStr">
        <is>
          <t>Nøkkeltall / Dimensjon</t>
        </is>
      </c>
      <c r="B5" s="4" t="inlineStr">
        <is>
          <t>Verdi</t>
        </is>
      </c>
      <c r="C5" s="4" t="inlineStr">
        <is>
          <t>Mål / Grense</t>
        </is>
      </c>
      <c r="D5" s="4" t="inlineStr">
        <is>
          <t>Avvik / Status</t>
        </is>
      </c>
      <c r="E5" s="4" t="inlineStr">
        <is>
          <t>Formell Forklaring</t>
        </is>
      </c>
    </row>
    <row r="6">
      <c r="A6" s="5" t="inlineStr">
        <is>
          <t>Total Portefølje BAC</t>
        </is>
      </c>
      <c r="B6" s="12">
        <f>'02_EVM_Prosjektkontroll'!C14</f>
        <v/>
      </c>
      <c r="C6" s="13" t="n">
        <v>71700000</v>
      </c>
      <c r="D6" s="14" t="inlineStr">
        <is>
          <t>I rute</t>
        </is>
      </c>
      <c r="E6" s="6" t="inlineStr">
        <is>
          <t>Samlet godkjent budsjettramme ved ferdigstillelse</t>
        </is>
      </c>
    </row>
    <row r="7">
      <c r="A7" s="5" t="inlineStr">
        <is>
          <t>Påløpte Kostnader (AC)</t>
        </is>
      </c>
      <c r="B7" s="12">
        <f>'02_EVM_Prosjektkontroll'!F14</f>
        <v/>
      </c>
      <c r="C7" s="13" t="n">
        <v>40000000</v>
      </c>
      <c r="D7" s="14" t="inlineStr">
        <is>
          <t>Merforbruk</t>
        </is>
      </c>
      <c r="E7" s="6" t="inlineStr">
        <is>
          <t>Faktiske kostnader bokført i Unit4/UBW per M10</t>
        </is>
      </c>
    </row>
    <row r="8">
      <c r="A8" s="5" t="inlineStr">
        <is>
          <t>Opptjent Verdi (EV)</t>
        </is>
      </c>
      <c r="B8" s="12">
        <f>'02_EVM_Prosjektkontroll'!E14</f>
        <v/>
      </c>
      <c r="C8" s="13">
        <f>'02_EVM_Prosjektkontroll'!D14</f>
        <v/>
      </c>
      <c r="D8" s="14" t="inlineStr">
        <is>
          <t>Fremdriftsavvik</t>
        </is>
      </c>
      <c r="E8" s="6" t="inlineStr">
        <is>
          <t>Fysisk fremdrift multiplisert med BAC</t>
        </is>
      </c>
    </row>
    <row r="9">
      <c r="A9" s="15" t="inlineStr">
        <is>
          <t>Kostnadsavvik (CV NOK)</t>
        </is>
      </c>
      <c r="B9" s="16">
        <f>'02_EVM_Prosjektkontroll'!G14</f>
        <v/>
      </c>
      <c r="C9" s="17" t="n">
        <v>0</v>
      </c>
      <c r="D9" s="18">
        <f>IF(B9&lt;0, "OVERFORBRUK", "UNDER BUDSJETT")</f>
        <v/>
      </c>
      <c r="E9" s="19" t="inlineStr">
        <is>
          <t>Netto monetært kostnadsavvik (EV - AC)</t>
        </is>
      </c>
    </row>
    <row r="10">
      <c r="A10" s="15" t="inlineStr">
        <is>
          <t>Portefølje CPI (Kostnad)</t>
        </is>
      </c>
      <c r="B10" s="20">
        <f>'02_EVM_Prosjektkontroll'!I14</f>
        <v/>
      </c>
      <c r="C10" s="21" t="n">
        <v>1</v>
      </c>
      <c r="D10" s="18">
        <f>IF(B10&lt;0.9, "KRITISK", "TILFREDSSTILLENDE")</f>
        <v/>
      </c>
      <c r="E10" s="19" t="inlineStr">
        <is>
          <t>Kostnadseffektivitetsindeks (EV / AC)</t>
        </is>
      </c>
    </row>
    <row r="11">
      <c r="A11" s="5" t="inlineStr">
        <is>
          <t>Portefølje SPI (Fremdrift)</t>
        </is>
      </c>
      <c r="B11" s="22">
        <f>'02_EVM_Prosjektkontroll'!J14</f>
        <v/>
      </c>
      <c r="C11" s="23" t="n">
        <v>1</v>
      </c>
      <c r="D11" s="24">
        <f>IF(B11&lt;0.9, "FORSINKET", "I RUTE")</f>
        <v/>
      </c>
      <c r="E11" s="6" t="inlineStr">
        <is>
          <t>Fremdriftsindeks (EV / PV)</t>
        </is>
      </c>
    </row>
    <row r="12">
      <c r="A12" s="5" t="inlineStr">
        <is>
          <t>Sluttkostnad (EAC Valgt Modell)</t>
        </is>
      </c>
      <c r="B12" s="12">
        <f>'02_EVM_Prosjektkontroll'!N14</f>
        <v/>
      </c>
      <c r="C12" s="13">
        <f>'02_EVM_Prosjektkontroll'!C14</f>
        <v/>
      </c>
      <c r="D12" s="14" t="inlineStr">
        <is>
          <t>Projisert Sluttkostnad</t>
        </is>
      </c>
      <c r="E12" s="6" t="inlineStr">
        <is>
          <t>Dynamisk prognose basert på valgt EAC-modell</t>
        </is>
      </c>
    </row>
    <row r="13">
      <c r="A13" s="15" t="inlineStr">
        <is>
          <t>Sluttavvik (VAC Valgt Modell)</t>
        </is>
      </c>
      <c r="B13" s="16">
        <f>'02_EVM_Prosjektkontroll'!O14</f>
        <v/>
      </c>
      <c r="C13" s="17" t="n">
        <v>0</v>
      </c>
      <c r="D13" s="18">
        <f>IF(B13&lt;0, "SLUTTOVERSKRIDELSE", "INSPEKT")</f>
        <v/>
      </c>
      <c r="E13" s="19" t="inlineStr">
        <is>
          <t>Forventet avvik ved fullførelse (BAC - EAC)</t>
        </is>
      </c>
    </row>
    <row r="14">
      <c r="A14" s="15" t="inlineStr">
        <is>
          <t>Statlig Driftsavsetning (F-05-20)</t>
        </is>
      </c>
      <c r="B14" s="25">
        <f>'04_F05_20_Avsetningskalkyle'!C9</f>
        <v/>
      </c>
      <c r="C14" s="26" t="n">
        <v>0.05</v>
      </c>
      <c r="D14" s="18" t="inlineStr">
        <is>
          <t>DISPENSASJON PÅKREVD</t>
        </is>
      </c>
      <c r="E14" s="19" t="inlineStr">
        <is>
          <t>6,0 % avsetning overstiger 5,0 % lovfestet tak (+12M NOK)</t>
        </is>
      </c>
    </row>
    <row r="15">
      <c r="A15" s="15" t="inlineStr">
        <is>
          <t>DFØ Reiseregninger Flagg</t>
        </is>
      </c>
      <c r="B15" s="16">
        <f>'05_Compliance_Internkontroll'!C20</f>
        <v/>
      </c>
      <c r="C15" s="17" t="n">
        <v>0</v>
      </c>
      <c r="D15" s="18" t="inlineStr">
        <is>
          <t>7 Saker Flagget</t>
        </is>
      </c>
      <c r="E15" s="19" t="inlineStr">
        <is>
          <t>7 av 15 reiseregninger flagget for atestasjonsbrudd (Unit4 sperret)</t>
        </is>
      </c>
    </row>
    <row r="16"/>
    <row r="17"/>
    <row r="18">
      <c r="A18" s="3" t="inlineStr">
        <is>
          <t>Interaktiv Framskrivingsmodell Slicer (Endre cellen under for å oppdatere EAC-beregninger)</t>
        </is>
      </c>
    </row>
    <row r="19">
      <c r="A19" s="27" t="inlineStr">
        <is>
          <t>Aktiv EAC Modell:</t>
        </is>
      </c>
      <c r="B19" s="28" t="inlineStr">
        <is>
          <t>COMPOSITE</t>
        </is>
      </c>
      <c r="C19" s="2" t="inlineStr">
        <is>
          <t>Valgbare verdier: 'CPI' | 'COMPOSITE' | 'WEIGHTED' (Se 'Dim_Model_Parameter' for detaljer)</t>
        </is>
      </c>
    </row>
    <row r="20"/>
    <row r="21"/>
    <row r="22">
      <c r="A22" s="3" t="inlineStr">
        <is>
          <t>Strategisk Ledelses- og Tiltaksplan</t>
        </is>
      </c>
    </row>
    <row r="23">
      <c r="A23" s="10" t="inlineStr">
        <is>
          <t>Prio</t>
        </is>
      </c>
      <c r="B23" s="10" t="inlineStr">
        <is>
          <t>Styringsområde</t>
        </is>
      </c>
      <c r="C23" s="10" t="inlineStr">
        <is>
          <t>Identifisert Risiko / Avvik</t>
        </is>
      </c>
      <c r="D23" s="10" t="inlineStr">
        <is>
          <t>Besluttet Ledelsestiltak</t>
        </is>
      </c>
      <c r="E23" s="10" t="inlineStr">
        <is>
          <t>Ansvarlig</t>
        </is>
      </c>
      <c r="F23" s="10" t="inlineStr">
        <is>
          <t>Frist</t>
        </is>
      </c>
    </row>
    <row r="24">
      <c r="A24" s="24" t="inlineStr">
        <is>
          <t>P1</t>
        </is>
      </c>
      <c r="B24" s="5" t="inlineStr">
        <is>
          <t>F-05-20 Avsetningskontroll</t>
        </is>
      </c>
      <c r="C24" s="6" t="inlineStr">
        <is>
          <t>12,0 MNOK akkumulert over 5 % taket per M10 (inndragningsfare fra KD)</t>
        </is>
      </c>
      <c r="D24" s="6" t="inlineStr">
        <is>
          <t>Iverksett tiltakskort T1-T4 (9M NOK) + send dispensasjonssøknad for resterende 3M NOK</t>
        </is>
      </c>
      <c r="E24" s="5" t="inlineStr">
        <is>
          <t>Universitetsdirektør / Dekan</t>
        </is>
      </c>
      <c r="F24" s="7" t="inlineStr">
        <is>
          <t>15.11.2026</t>
        </is>
      </c>
    </row>
    <row r="25">
      <c r="A25" s="24" t="inlineStr">
        <is>
          <t>P1</t>
        </is>
      </c>
      <c r="B25" s="5" t="inlineStr">
        <is>
          <t>EVM Prosjekt UM-ENG-03</t>
        </is>
      </c>
      <c r="C25" s="6" t="inlineStr">
        <is>
          <t>Kritisk kostnads- og fremdriftsavvik (CPI 0.76, SPI 0.80, TCPI 2.14)</t>
        </is>
      </c>
      <c r="D25" s="6" t="inlineStr">
        <is>
          <t>Prosjekteiermøte: Kutt i konsulentomfang og reallokering av vitenskapelig personell</t>
        </is>
      </c>
      <c r="E25" s="5" t="inlineStr">
        <is>
          <t>Prosjektleder / Dekan</t>
        </is>
      </c>
      <c r="F25" s="7" t="inlineStr">
        <is>
          <t>20.10.2026</t>
        </is>
      </c>
    </row>
    <row r="26">
      <c r="A26" s="24" t="inlineStr">
        <is>
          <t>P1</t>
        </is>
      </c>
      <c r="B26" s="5" t="inlineStr">
        <is>
          <t>EVM Prosjekt UM-FPV-01</t>
        </is>
      </c>
      <c r="C26" s="6" t="inlineStr">
        <is>
          <t>Monetært kostnadsavvik -2,1 MNOK mot planlagt fremdrift (CPI 0.91)</t>
        </is>
      </c>
      <c r="D26" s="6" t="inlineStr">
        <is>
          <t>Revidert innkjøpsplan for maritim lab for å fange stordriftsfordeler</t>
        </is>
      </c>
      <c r="E26" s="5" t="inlineStr">
        <is>
          <t>Prosjektleder / Kontorsjef</t>
        </is>
      </c>
      <c r="F26" s="7" t="inlineStr">
        <is>
          <t>01.11.2026</t>
        </is>
      </c>
    </row>
    <row r="27">
      <c r="A27" s="29" t="inlineStr">
        <is>
          <t>P2</t>
        </is>
      </c>
      <c r="B27" s="5" t="inlineStr">
        <is>
          <t>DFØ Internkontroll</t>
        </is>
      </c>
      <c r="C27" s="6" t="inlineStr">
        <is>
          <t>2 tilfeller av egengodkjenning av reiser (brudd på UiA fullmaktsmatrise)</t>
        </is>
      </c>
      <c r="D27" s="6" t="inlineStr">
        <is>
          <t>Omruting av bilag til overordnet leder for gyldig atestasjon; sperr utbetaling i Unit4</t>
        </is>
      </c>
      <c r="E27" s="5" t="inlineStr">
        <is>
          <t>Regnskapssjef</t>
        </is>
      </c>
      <c r="F27" s="7" t="inlineStr">
        <is>
          <t>12.10.2026</t>
        </is>
      </c>
    </row>
    <row r="28">
      <c r="A28" s="29" t="inlineStr">
        <is>
          <t>P2</t>
        </is>
      </c>
      <c r="B28" s="5" t="inlineStr">
        <is>
          <t>DFØ Måltidskontroll</t>
        </is>
      </c>
      <c r="C28" s="6" t="inlineStr">
        <is>
          <t>5 tilfeller av manglende diettfradrag (hotellfrokost/lunsj inkludert)</t>
        </is>
      </c>
      <c r="D28" s="6" t="inlineStr">
        <is>
          <t>Automatisk diettkorreksjon på neste lønnskjøring i henhold til statens satser</t>
        </is>
      </c>
      <c r="E28" s="5" t="inlineStr">
        <is>
          <t>Lønnscontroller</t>
        </is>
      </c>
      <c r="F28" s="7" t="inlineStr">
        <is>
          <t>15.10.2026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"/>
  <sheetViews>
    <sheetView showGridLines="1" workbookViewId="0">
      <selection activeCell="A1" sqref="A1"/>
    </sheetView>
  </sheetViews>
  <sheetFormatPr baseColWidth="8" defaultRowHeight="15"/>
  <cols>
    <col width="114" customWidth="1" min="1" max="1"/>
    <col width="45" customWidth="1" min="2" max="2"/>
    <col width="24" customWidth="1" min="3" max="3"/>
    <col width="24" customWidth="1" min="4" max="4"/>
    <col width="24" customWidth="1" min="5" max="5"/>
    <col width="24" customWidth="1" min="6" max="6"/>
    <col width="22" customWidth="1" min="7" max="7"/>
    <col width="24" customWidth="1" min="8" max="8"/>
    <col width="27" customWidth="1" min="9" max="9"/>
    <col width="27" customWidth="1" min="10" max="10"/>
    <col width="34" customWidth="1" min="11" max="11"/>
    <col width="50" customWidth="1" min="12" max="12"/>
    <col width="58" customWidth="1" min="13" max="13"/>
    <col width="112" customWidth="1" min="14" max="14"/>
    <col width="20" customWidth="1" min="15" max="15"/>
    <col width="21" customWidth="1" min="16" max="16"/>
    <col width="39" customWidth="1" min="17" max="17"/>
    <col width="108" customWidth="1" min="18" max="18"/>
  </cols>
  <sheetData>
    <row r="1">
      <c r="A1" s="1" t="inlineStr">
        <is>
          <t>Earned Value Management (EVM) — Prosjektportefølje &amp; Fler-Modell EAC</t>
        </is>
      </c>
    </row>
    <row r="2">
      <c r="A2" s="2" t="inlineStr">
        <is>
          <t>Formelverk iht. ANSI/EIA-748 og DFØ prosjektveileder. Modellvelger styres av cellen '01_Executive_Cockpit'!B19</t>
        </is>
      </c>
    </row>
    <row r="3"/>
    <row r="4">
      <c r="A4" s="30" t="inlineStr">
        <is>
          <t>Prosjekt-ID</t>
        </is>
      </c>
      <c r="B4" s="31" t="inlineStr">
        <is>
          <t>Prosjektnavn</t>
        </is>
      </c>
      <c r="C4" s="32" t="inlineStr">
        <is>
          <t>Budsjett (BAC)</t>
        </is>
      </c>
      <c r="D4" s="32" t="inlineStr">
        <is>
          <t>Planlagt (PV)</t>
        </is>
      </c>
      <c r="E4" s="32" t="inlineStr">
        <is>
          <t>Opptjent (EV)</t>
        </is>
      </c>
      <c r="F4" s="32" t="inlineStr">
        <is>
          <t>Påløpt (AC)</t>
        </is>
      </c>
      <c r="G4" s="32" t="inlineStr">
        <is>
          <t>Kostnadsavvik (CV)</t>
        </is>
      </c>
      <c r="H4" s="32" t="inlineStr">
        <is>
          <t>Fremdriftsavvik (SV)</t>
        </is>
      </c>
      <c r="I4" s="32" t="inlineStr">
        <is>
          <t>CPI</t>
        </is>
      </c>
      <c r="J4" s="32" t="inlineStr">
        <is>
          <t>SPI</t>
        </is>
      </c>
      <c r="K4" s="32" t="inlineStr">
        <is>
          <t>EAC (Typisk CPI)</t>
        </is>
      </c>
      <c r="L4" s="32" t="inlineStr">
        <is>
          <t>EAC (Sammensatt)</t>
        </is>
      </c>
      <c r="M4" s="32" t="inlineStr">
        <is>
          <t>EAC (Vektet 80/20)</t>
        </is>
      </c>
      <c r="N4" s="32" t="inlineStr">
        <is>
          <t>EAC (Aktiv Modell)</t>
        </is>
      </c>
      <c r="O4" s="32" t="inlineStr">
        <is>
          <t>Sluttavvik (VAC)</t>
        </is>
      </c>
      <c r="P4" s="32" t="inlineStr">
        <is>
          <t>Gjenstående (ETC)</t>
        </is>
      </c>
      <c r="Q4" s="32" t="inlineStr">
        <is>
          <t>TCPI</t>
        </is>
      </c>
      <c r="R4" s="30" t="inlineStr">
        <is>
          <t>Risiko Status</t>
        </is>
      </c>
    </row>
    <row r="5">
      <c r="A5" s="33" t="inlineStr">
        <is>
          <t>UM-DEF-02</t>
        </is>
      </c>
      <c r="B5" s="6" t="inlineStr">
        <is>
          <t>Forsvarsforskning Agder (Skrogmodell)</t>
        </is>
      </c>
      <c r="C5" s="34" t="n">
        <v>18500000</v>
      </c>
      <c r="D5" s="34" t="n">
        <v>12000000</v>
      </c>
      <c r="E5" s="34" t="n">
        <v>12200000</v>
      </c>
      <c r="F5" s="34" t="n">
        <v>11800000</v>
      </c>
      <c r="G5" s="34">
        <f>E5-F5</f>
        <v/>
      </c>
      <c r="H5" s="34">
        <f>E5-D5</f>
        <v/>
      </c>
      <c r="I5" s="35">
        <f>IFERROR(E5/F5, 1.00)</f>
        <v/>
      </c>
      <c r="J5" s="35">
        <f>IFERROR(E5/D5, 1.00)</f>
        <v/>
      </c>
      <c r="K5" s="34">
        <f>IFERROR(C5/I5, C5)</f>
        <v/>
      </c>
      <c r="L5" s="34">
        <f>IFERROR(F5+(C5-E5)/(I5*J5), C5)</f>
        <v/>
      </c>
      <c r="M5" s="34">
        <f>IFERROR(F5+(C5-E5)/(0.8*I5+0.2*J5), C5)</f>
        <v/>
      </c>
      <c r="N5" s="34">
        <f>IF('01_Executive_Cockpit'!$B$19="CPI", K5, IF('01_Executive_Cockpit'!$B$19="COMPOSITE", L5, M5))</f>
        <v/>
      </c>
      <c r="O5" s="34">
        <f>C5-N5</f>
        <v/>
      </c>
      <c r="P5" s="34">
        <f>N5-F5</f>
        <v/>
      </c>
      <c r="Q5" s="35">
        <f>IFERROR((C5-E5)/(C5-F5), 9.99)</f>
        <v/>
      </c>
      <c r="R5" s="36">
        <f>IF(OR(I5&lt;0.85, J5&lt;0.85, O5&lt;-1000000), "CRITICAL", IF(OR(I5&lt;0.95, J5&lt;0.95), "WARNING", "ON TRACK"))</f>
        <v/>
      </c>
    </row>
    <row r="6">
      <c r="A6" s="33" t="inlineStr">
        <is>
          <t>UM-ENG-03</t>
        </is>
      </c>
      <c r="B6" s="6" t="inlineStr">
        <is>
          <t>Ingeniørutdanning Fornybar (Komposittlab)</t>
        </is>
      </c>
      <c r="C6" s="34" t="n">
        <v>8200000</v>
      </c>
      <c r="D6" s="34" t="n">
        <v>6500000</v>
      </c>
      <c r="E6" s="34" t="n">
        <v>5200000</v>
      </c>
      <c r="F6" s="34" t="n">
        <v>6800000</v>
      </c>
      <c r="G6" s="34">
        <f>E6-F6</f>
        <v/>
      </c>
      <c r="H6" s="34">
        <f>E6-D6</f>
        <v/>
      </c>
      <c r="I6" s="35">
        <f>IFERROR(E6/F6, 1.00)</f>
        <v/>
      </c>
      <c r="J6" s="35">
        <f>IFERROR(E6/D6, 1.00)</f>
        <v/>
      </c>
      <c r="K6" s="34">
        <f>IFERROR(C6/I6, C6)</f>
        <v/>
      </c>
      <c r="L6" s="34">
        <f>IFERROR(F6+(C6-E6)/(I6*J6), C6)</f>
        <v/>
      </c>
      <c r="M6" s="34">
        <f>IFERROR(F6+(C6-E6)/(0.8*I6+0.2*J6), C6)</f>
        <v/>
      </c>
      <c r="N6" s="34">
        <f>IF('01_Executive_Cockpit'!$B$19="CPI", K6, IF('01_Executive_Cockpit'!$B$19="COMPOSITE", L6, M6))</f>
        <v/>
      </c>
      <c r="O6" s="34">
        <f>C6-N6</f>
        <v/>
      </c>
      <c r="P6" s="34">
        <f>N6-F6</f>
        <v/>
      </c>
      <c r="Q6" s="35">
        <f>IFERROR((C6-E6)/(C6-F6), 9.99)</f>
        <v/>
      </c>
      <c r="R6" s="37">
        <f>IF(OR(I6&lt;0.85, J6&lt;0.85, O6&lt;-1000000), "CRITICAL", IF(OR(I6&lt;0.95, J6&lt;0.95), "WARNING", "ON TRACK"))</f>
        <v/>
      </c>
    </row>
    <row r="7">
      <c r="A7" s="33" t="inlineStr">
        <is>
          <t>UM-FPV-01</t>
        </is>
      </c>
      <c r="B7" s="6" t="inlineStr">
        <is>
          <t>Fotovoltaikk Solceller (Maritim Lab)</t>
        </is>
      </c>
      <c r="C7" s="34" t="n">
        <v>45000000</v>
      </c>
      <c r="D7" s="34" t="n">
        <v>22500000</v>
      </c>
      <c r="E7" s="34" t="n">
        <v>21000000</v>
      </c>
      <c r="F7" s="34" t="n">
        <v>23100000</v>
      </c>
      <c r="G7" s="34">
        <f>E7-F7</f>
        <v/>
      </c>
      <c r="H7" s="34">
        <f>E7-D7</f>
        <v/>
      </c>
      <c r="I7" s="35">
        <f>IFERROR(E7/F7, 1.00)</f>
        <v/>
      </c>
      <c r="J7" s="35">
        <f>IFERROR(E7/D7, 1.00)</f>
        <v/>
      </c>
      <c r="K7" s="34">
        <f>IFERROR(C7/I7, C7)</f>
        <v/>
      </c>
      <c r="L7" s="34">
        <f>IFERROR(F7+(C7-E7)/(I7*J7), C7)</f>
        <v/>
      </c>
      <c r="M7" s="34">
        <f>IFERROR(F7+(C7-E7)/(0.8*I7+0.2*J7), C7)</f>
        <v/>
      </c>
      <c r="N7" s="34">
        <f>IF('01_Executive_Cockpit'!$B$19="CPI", K7, IF('01_Executive_Cockpit'!$B$19="COMPOSITE", L7, M7))</f>
        <v/>
      </c>
      <c r="O7" s="34">
        <f>C7-N7</f>
        <v/>
      </c>
      <c r="P7" s="34">
        <f>N7-F7</f>
        <v/>
      </c>
      <c r="Q7" s="35">
        <f>IFERROR((C7-E7)/(C7-F7), 9.99)</f>
        <v/>
      </c>
      <c r="R7" s="37">
        <f>IF(OR(I7&lt;0.85, J7&lt;0.85, O7&lt;-1000000), "CRITICAL", IF(OR(I7&lt;0.95, J7&lt;0.95), "WARNING", "ON TRACK"))</f>
        <v/>
      </c>
    </row>
    <row r="8">
      <c r="A8" s="33" t="inlineStr">
        <is>
          <t>NFR001</t>
        </is>
      </c>
      <c r="B8" s="6" t="inlineStr">
        <is>
          <t>NFR-AI: Kunstig intelligens i styring</t>
        </is>
      </c>
      <c r="C8" s="34" t="n">
        <v>4000000</v>
      </c>
      <c r="D8" s="34" t="n">
        <v>2600000</v>
      </c>
      <c r="E8" s="34" t="n">
        <v>1680000</v>
      </c>
      <c r="F8" s="34" t="n">
        <v>1680000</v>
      </c>
      <c r="G8" s="34">
        <f>E8-F8</f>
        <v/>
      </c>
      <c r="H8" s="34">
        <f>E8-D8</f>
        <v/>
      </c>
      <c r="I8" s="35">
        <f>IFERROR(E8/F8, 1.00)</f>
        <v/>
      </c>
      <c r="J8" s="35">
        <f>IFERROR(E8/D8, 1.00)</f>
        <v/>
      </c>
      <c r="K8" s="34">
        <f>IFERROR(C8/I8, C8)</f>
        <v/>
      </c>
      <c r="L8" s="34">
        <f>IFERROR(F8+(C8-E8)/(I8*J8), C8)</f>
        <v/>
      </c>
      <c r="M8" s="34">
        <f>IFERROR(F8+(C8-E8)/(0.8*I8+0.2*J8), C8)</f>
        <v/>
      </c>
      <c r="N8" s="34">
        <f>IF('01_Executive_Cockpit'!$B$19="CPI", K8, IF('01_Executive_Cockpit'!$B$19="COMPOSITE", L8, M8))</f>
        <v/>
      </c>
      <c r="O8" s="34">
        <f>C8-N8</f>
        <v/>
      </c>
      <c r="P8" s="34">
        <f>N8-F8</f>
        <v/>
      </c>
      <c r="Q8" s="35">
        <f>IFERROR((C8-E8)/(C8-F8), 9.99)</f>
        <v/>
      </c>
      <c r="R8" s="36">
        <f>IF(OR(I8&lt;0.85, J8&lt;0.85, O8&lt;-1000000), "CRITICAL", IF(OR(I8&lt;0.95, J8&lt;0.95), "WARNING", "ON TRACK"))</f>
        <v/>
      </c>
    </row>
    <row r="9">
      <c r="A9" s="33" t="inlineStr">
        <is>
          <t>NFR002</t>
        </is>
      </c>
      <c r="B9" s="6" t="inlineStr">
        <is>
          <t>NFR-Helse: Pasientsikkerhet i helsefag</t>
        </is>
      </c>
      <c r="C9" s="34" t="n">
        <v>2800000</v>
      </c>
      <c r="D9" s="34" t="n">
        <v>1450000</v>
      </c>
      <c r="E9" s="34" t="n">
        <v>1450000</v>
      </c>
      <c r="F9" s="34" t="n">
        <v>1450000</v>
      </c>
      <c r="G9" s="34">
        <f>E9-F9</f>
        <v/>
      </c>
      <c r="H9" s="34">
        <f>E9-D9</f>
        <v/>
      </c>
      <c r="I9" s="35">
        <f>IFERROR(E9/F9, 1.00)</f>
        <v/>
      </c>
      <c r="J9" s="35">
        <f>IFERROR(E9/D9, 1.00)</f>
        <v/>
      </c>
      <c r="K9" s="34">
        <f>IFERROR(C9/I9, C9)</f>
        <v/>
      </c>
      <c r="L9" s="34">
        <f>IFERROR(F9+(C9-E9)/(I9*J9), C9)</f>
        <v/>
      </c>
      <c r="M9" s="34">
        <f>IFERROR(F9+(C9-E9)/(0.8*I9+0.2*J9), C9)</f>
        <v/>
      </c>
      <c r="N9" s="34">
        <f>IF('01_Executive_Cockpit'!$B$19="CPI", K9, IF('01_Executive_Cockpit'!$B$19="COMPOSITE", L9, M9))</f>
        <v/>
      </c>
      <c r="O9" s="34">
        <f>C9-N9</f>
        <v/>
      </c>
      <c r="P9" s="34">
        <f>N9-F9</f>
        <v/>
      </c>
      <c r="Q9" s="35">
        <f>IFERROR((C9-E9)/(C9-F9), 9.99)</f>
        <v/>
      </c>
      <c r="R9" s="36">
        <f>IF(OR(I9&lt;0.85, J9&lt;0.85, O9&lt;-1000000), "CRITICAL", IF(OR(I9&lt;0.95, J9&lt;0.95), "WARNING", "ON TRACK"))</f>
        <v/>
      </c>
    </row>
    <row r="10">
      <c r="A10" s="33" t="inlineStr">
        <is>
          <t>EU001</t>
        </is>
      </c>
      <c r="B10" s="6" t="inlineStr">
        <is>
          <t>EU Horizon: Green Maritime Tech</t>
        </is>
      </c>
      <c r="C10" s="34" t="n">
        <v>6200000</v>
      </c>
      <c r="D10" s="34" t="n">
        <v>3100000</v>
      </c>
      <c r="E10" s="34" t="n">
        <v>3100000</v>
      </c>
      <c r="F10" s="34" t="n">
        <v>3100000</v>
      </c>
      <c r="G10" s="34">
        <f>E10-F10</f>
        <v/>
      </c>
      <c r="H10" s="34">
        <f>E10-D10</f>
        <v/>
      </c>
      <c r="I10" s="35">
        <f>IFERROR(E10/F10, 1.00)</f>
        <v/>
      </c>
      <c r="J10" s="35">
        <f>IFERROR(E10/D10, 1.00)</f>
        <v/>
      </c>
      <c r="K10" s="34">
        <f>IFERROR(C10/I10, C10)</f>
        <v/>
      </c>
      <c r="L10" s="34">
        <f>IFERROR(F10+(C10-E10)/(I10*J10), C10)</f>
        <v/>
      </c>
      <c r="M10" s="34">
        <f>IFERROR(F10+(C10-E10)/(0.8*I10+0.2*J10), C10)</f>
        <v/>
      </c>
      <c r="N10" s="34">
        <f>IF('01_Executive_Cockpit'!$B$19="CPI", K10, IF('01_Executive_Cockpit'!$B$19="COMPOSITE", L10, M10))</f>
        <v/>
      </c>
      <c r="O10" s="34">
        <f>C10-N10</f>
        <v/>
      </c>
      <c r="P10" s="34">
        <f>N10-F10</f>
        <v/>
      </c>
      <c r="Q10" s="35">
        <f>IFERROR((C10-E10)/(C10-F10), 9.99)</f>
        <v/>
      </c>
      <c r="R10" s="36">
        <f>IF(OR(I10&lt;0.85, J10&lt;0.85, O10&lt;-1000000), "CRITICAL", IF(OR(I10&lt;0.95, J10&lt;0.95), "WARNING", "ON TRACK"))</f>
        <v/>
      </c>
    </row>
    <row r="11">
      <c r="A11" s="33" t="inlineStr">
        <is>
          <t>EU002</t>
        </is>
      </c>
      <c r="B11" s="6" t="inlineStr">
        <is>
          <t>EU Horizon: Digital Governance</t>
        </is>
      </c>
      <c r="C11" s="34" t="n">
        <v>4500000</v>
      </c>
      <c r="D11" s="34" t="n">
        <v>2150000</v>
      </c>
      <c r="E11" s="34" t="n">
        <v>2150000</v>
      </c>
      <c r="F11" s="34" t="n">
        <v>2150000</v>
      </c>
      <c r="G11" s="34">
        <f>E11-F11</f>
        <v/>
      </c>
      <c r="H11" s="34">
        <f>E11-D11</f>
        <v/>
      </c>
      <c r="I11" s="35">
        <f>IFERROR(E11/F11, 1.00)</f>
        <v/>
      </c>
      <c r="J11" s="35">
        <f>IFERROR(E11/D11, 1.00)</f>
        <v/>
      </c>
      <c r="K11" s="34">
        <f>IFERROR(C11/I11, C11)</f>
        <v/>
      </c>
      <c r="L11" s="34">
        <f>IFERROR(F11+(C11-E11)/(I11*J11), C11)</f>
        <v/>
      </c>
      <c r="M11" s="34">
        <f>IFERROR(F11+(C11-E11)/(0.8*I11+0.2*J11), C11)</f>
        <v/>
      </c>
      <c r="N11" s="34">
        <f>IF('01_Executive_Cockpit'!$B$19="CPI", K11, IF('01_Executive_Cockpit'!$B$19="COMPOSITE", L11, M11))</f>
        <v/>
      </c>
      <c r="O11" s="34">
        <f>C11-N11</f>
        <v/>
      </c>
      <c r="P11" s="34">
        <f>N11-F11</f>
        <v/>
      </c>
      <c r="Q11" s="35">
        <f>IFERROR((C11-E11)/(C11-F11), 9.99)</f>
        <v/>
      </c>
      <c r="R11" s="36">
        <f>IF(OR(I11&lt;0.85, J11&lt;0.85, O11&lt;-1000000), "CRITICAL", IF(OR(I11&lt;0.95, J11&lt;0.95), "WARNING", "ON TRACK"))</f>
        <v/>
      </c>
    </row>
    <row r="12">
      <c r="A12" s="33" t="inlineStr">
        <is>
          <t>EVU001</t>
        </is>
      </c>
      <c r="B12" s="6" t="inlineStr">
        <is>
          <t>EVU Videreutdanning for kommuner</t>
        </is>
      </c>
      <c r="C12" s="34" t="n">
        <v>1200000</v>
      </c>
      <c r="D12" s="34" t="n">
        <v>600000</v>
      </c>
      <c r="E12" s="34" t="n">
        <v>600000</v>
      </c>
      <c r="F12" s="34" t="n">
        <v>864000</v>
      </c>
      <c r="G12" s="34">
        <f>E12-F12</f>
        <v/>
      </c>
      <c r="H12" s="34">
        <f>E12-D12</f>
        <v/>
      </c>
      <c r="I12" s="35">
        <f>IFERROR(E12/F12, 1.00)</f>
        <v/>
      </c>
      <c r="J12" s="35">
        <f>IFERROR(E12/D12, 1.00)</f>
        <v/>
      </c>
      <c r="K12" s="34">
        <f>IFERROR(C12/I12, C12)</f>
        <v/>
      </c>
      <c r="L12" s="34">
        <f>IFERROR(F12+(C12-E12)/(I12*J12), C12)</f>
        <v/>
      </c>
      <c r="M12" s="34">
        <f>IFERROR(F12+(C12-E12)/(0.8*I12+0.2*J12), C12)</f>
        <v/>
      </c>
      <c r="N12" s="34">
        <f>IF('01_Executive_Cockpit'!$B$19="CPI", K12, IF('01_Executive_Cockpit'!$B$19="COMPOSITE", L12, M12))</f>
        <v/>
      </c>
      <c r="O12" s="34">
        <f>C12-N12</f>
        <v/>
      </c>
      <c r="P12" s="34">
        <f>N12-F12</f>
        <v/>
      </c>
      <c r="Q12" s="35">
        <f>IFERROR((C12-E12)/(C12-F12), 9.99)</f>
        <v/>
      </c>
      <c r="R12" s="37">
        <f>IF(OR(I12&lt;0.85, J12&lt;0.85, O12&lt;-1000000), "CRITICAL", IF(OR(I12&lt;0.95, J12&lt;0.95), "WARNING", "ON TRACK"))</f>
        <v/>
      </c>
    </row>
    <row r="13">
      <c r="A13" s="33" t="inlineStr">
        <is>
          <t>OPPDRAG01</t>
        </is>
      </c>
      <c r="B13" s="6" t="inlineStr">
        <is>
          <t>Oppdragsforskning Batteriteknologi</t>
        </is>
      </c>
      <c r="C13" s="34" t="n">
        <v>1800000</v>
      </c>
      <c r="D13" s="34" t="n">
        <v>900000</v>
      </c>
      <c r="E13" s="34" t="n">
        <v>890000</v>
      </c>
      <c r="F13" s="34" t="n">
        <v>890000</v>
      </c>
      <c r="G13" s="34">
        <f>E13-F13</f>
        <v/>
      </c>
      <c r="H13" s="34">
        <f>E13-D13</f>
        <v/>
      </c>
      <c r="I13" s="35">
        <f>IFERROR(E13/F13, 1.00)</f>
        <v/>
      </c>
      <c r="J13" s="35">
        <f>IFERROR(E13/D13, 1.00)</f>
        <v/>
      </c>
      <c r="K13" s="34">
        <f>IFERROR(C13/I13, C13)</f>
        <v/>
      </c>
      <c r="L13" s="34">
        <f>IFERROR(F13+(C13-E13)/(I13*J13), C13)</f>
        <v/>
      </c>
      <c r="M13" s="34">
        <f>IFERROR(F13+(C13-E13)/(0.8*I13+0.2*J13), C13)</f>
        <v/>
      </c>
      <c r="N13" s="34">
        <f>IF('01_Executive_Cockpit'!$B$19="CPI", K13, IF('01_Executive_Cockpit'!$B$19="COMPOSITE", L13, M13))</f>
        <v/>
      </c>
      <c r="O13" s="34">
        <f>C13-N13</f>
        <v/>
      </c>
      <c r="P13" s="34">
        <f>N13-F13</f>
        <v/>
      </c>
      <c r="Q13" s="35">
        <f>IFERROR((C13-E13)/(C13-F13), 9.99)</f>
        <v/>
      </c>
      <c r="R13" s="36">
        <f>IF(OR(I13&lt;0.85, J13&lt;0.85, O13&lt;-1000000), "CRITICAL", IF(OR(I13&lt;0.95, J13&lt;0.95), "WARNING", "ON TRACK"))</f>
        <v/>
      </c>
    </row>
    <row r="14">
      <c r="A14" s="38" t="inlineStr">
        <is>
          <t>SUM PORTEFØLJE</t>
        </is>
      </c>
      <c r="B14" s="38" t="n"/>
      <c r="C14" s="39">
        <f>SUM(C5:C13)</f>
        <v/>
      </c>
      <c r="D14" s="39">
        <f>SUM(D5:D13)</f>
        <v/>
      </c>
      <c r="E14" s="39">
        <f>SUM(E5:E13)</f>
        <v/>
      </c>
      <c r="F14" s="39">
        <f>SUM(F5:F13)</f>
        <v/>
      </c>
      <c r="G14" s="39">
        <f>E14-F14</f>
        <v/>
      </c>
      <c r="H14" s="39">
        <f>E14-D14</f>
        <v/>
      </c>
      <c r="I14" s="40">
        <f>E14/F14</f>
        <v/>
      </c>
      <c r="J14" s="40">
        <f>E14/D14</f>
        <v/>
      </c>
      <c r="K14" s="39">
        <f>SUM(K5:K13)</f>
        <v/>
      </c>
      <c r="L14" s="39">
        <f>SUM(L5:L13)</f>
        <v/>
      </c>
      <c r="M14" s="39">
        <f>SUM(M5:M13)</f>
        <v/>
      </c>
      <c r="N14" s="39">
        <f>SUM(N5:N13)</f>
        <v/>
      </c>
      <c r="O14" s="39">
        <f>C14-N14</f>
        <v/>
      </c>
      <c r="P14" s="39">
        <f>N14-F14</f>
        <v/>
      </c>
      <c r="Q14" s="40">
        <f>(C14-E14)/(C14-F14)</f>
        <v/>
      </c>
      <c r="R14" s="41" t="inlineStr">
        <is>
          <t>PORTEFØLJE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/>
  <cols>
    <col width="105" customWidth="1" min="1" max="1"/>
    <col width="23" customWidth="1" min="2" max="2"/>
    <col width="23" customWidth="1" min="3" max="3"/>
    <col width="23" customWidth="1" min="4" max="4"/>
    <col width="23" customWidth="1" min="5" max="5"/>
    <col width="22" customWidth="1" min="6" max="6"/>
    <col width="24" customWidth="1" min="7" max="7"/>
    <col width="17" customWidth="1" min="8" max="8"/>
    <col width="17" customWidth="1" min="9" max="9"/>
  </cols>
  <sheetData>
    <row r="1">
      <c r="A1" s="1" t="inlineStr">
        <is>
          <t>Kumulativ EVM S-Kurve &amp; Månedlig Tidsserie 2026</t>
        </is>
      </c>
    </row>
    <row r="2">
      <c r="A2" s="2" t="inlineStr">
        <is>
          <t>Månedsfordelt oppfølging av Planned Value (PV), Earned Value (EV) og Actual Cost (AC) for porteføljen</t>
        </is>
      </c>
    </row>
    <row r="3"/>
    <row r="4">
      <c r="A4" s="30" t="inlineStr">
        <is>
          <t>Periode</t>
        </is>
      </c>
      <c r="B4" s="30" t="inlineStr">
        <is>
          <t>Måned</t>
        </is>
      </c>
      <c r="C4" s="32" t="inlineStr">
        <is>
          <t>Planlagt Verdi (PV)</t>
        </is>
      </c>
      <c r="D4" s="32" t="inlineStr">
        <is>
          <t>Opptjent Verdi (EV)</t>
        </is>
      </c>
      <c r="E4" s="32" t="inlineStr">
        <is>
          <t>Påløpt Kostnad (AC)</t>
        </is>
      </c>
      <c r="F4" s="32" t="inlineStr">
        <is>
          <t>Kostnadsavvik (CV)</t>
        </is>
      </c>
      <c r="G4" s="32" t="inlineStr">
        <is>
          <t>Fremdriftsavvik (SV)</t>
        </is>
      </c>
      <c r="H4" s="32" t="inlineStr">
        <is>
          <t>Kumulativ CPI</t>
        </is>
      </c>
      <c r="I4" s="32" t="inlineStr">
        <is>
          <t>Kumulativ SPI</t>
        </is>
      </c>
    </row>
    <row r="5">
      <c r="A5" s="33" t="inlineStr">
        <is>
          <t>2026-M01</t>
        </is>
      </c>
      <c r="B5" s="42" t="inlineStr">
        <is>
          <t>Januar</t>
        </is>
      </c>
      <c r="C5" s="34" t="n">
        <v>3500000</v>
      </c>
      <c r="D5" s="34" t="n">
        <v>3600000</v>
      </c>
      <c r="E5" s="34" t="n">
        <v>3400000</v>
      </c>
      <c r="F5" s="34">
        <f>D5-E5</f>
        <v/>
      </c>
      <c r="G5" s="34">
        <f>D5-C5</f>
        <v/>
      </c>
      <c r="H5" s="35">
        <f>D5/E5</f>
        <v/>
      </c>
      <c r="I5" s="35">
        <f>D5/C5</f>
        <v/>
      </c>
    </row>
    <row r="6">
      <c r="A6" s="33" t="inlineStr">
        <is>
          <t>2026-M02</t>
        </is>
      </c>
      <c r="B6" s="42" t="inlineStr">
        <is>
          <t>Februar</t>
        </is>
      </c>
      <c r="C6" s="34" t="n">
        <v>7200000</v>
      </c>
      <c r="D6" s="34" t="n">
        <v>7100000</v>
      </c>
      <c r="E6" s="34" t="n">
        <v>7000000</v>
      </c>
      <c r="F6" s="34">
        <f>D6-E6</f>
        <v/>
      </c>
      <c r="G6" s="34">
        <f>D6-C6</f>
        <v/>
      </c>
      <c r="H6" s="35">
        <f>D6/E6</f>
        <v/>
      </c>
      <c r="I6" s="35">
        <f>D6/C6</f>
        <v/>
      </c>
    </row>
    <row r="7">
      <c r="A7" s="33" t="inlineStr">
        <is>
          <t>2026-M03</t>
        </is>
      </c>
      <c r="B7" s="42" t="inlineStr">
        <is>
          <t>Mars</t>
        </is>
      </c>
      <c r="C7" s="34" t="n">
        <v>11500000</v>
      </c>
      <c r="D7" s="34" t="n">
        <v>11000000</v>
      </c>
      <c r="E7" s="34" t="n">
        <v>11200000</v>
      </c>
      <c r="F7" s="34">
        <f>D7-E7</f>
        <v/>
      </c>
      <c r="G7" s="34">
        <f>D7-C7</f>
        <v/>
      </c>
      <c r="H7" s="35">
        <f>D7/E7</f>
        <v/>
      </c>
      <c r="I7" s="35">
        <f>D7/C7</f>
        <v/>
      </c>
    </row>
    <row r="8">
      <c r="A8" s="33" t="inlineStr">
        <is>
          <t>2026-M04</t>
        </is>
      </c>
      <c r="B8" s="42" t="inlineStr">
        <is>
          <t>April</t>
        </is>
      </c>
      <c r="C8" s="34" t="n">
        <v>16000000</v>
      </c>
      <c r="D8" s="34" t="n">
        <v>15200000</v>
      </c>
      <c r="E8" s="34" t="n">
        <v>15900000</v>
      </c>
      <c r="F8" s="34">
        <f>D8-E8</f>
        <v/>
      </c>
      <c r="G8" s="34">
        <f>D8-C8</f>
        <v/>
      </c>
      <c r="H8" s="35">
        <f>D8/E8</f>
        <v/>
      </c>
      <c r="I8" s="35">
        <f>D8/C8</f>
        <v/>
      </c>
    </row>
    <row r="9">
      <c r="A9" s="33" t="inlineStr">
        <is>
          <t>2026-M05</t>
        </is>
      </c>
      <c r="B9" s="42" t="inlineStr">
        <is>
          <t>Mai</t>
        </is>
      </c>
      <c r="C9" s="34" t="n">
        <v>21000000</v>
      </c>
      <c r="D9" s="34" t="n">
        <v>19800000</v>
      </c>
      <c r="E9" s="34" t="n">
        <v>21100000</v>
      </c>
      <c r="F9" s="34">
        <f>D9-E9</f>
        <v/>
      </c>
      <c r="G9" s="34">
        <f>D9-C9</f>
        <v/>
      </c>
      <c r="H9" s="35">
        <f>D9/E9</f>
        <v/>
      </c>
      <c r="I9" s="35">
        <f>D9/C9</f>
        <v/>
      </c>
    </row>
    <row r="10">
      <c r="A10" s="33" t="inlineStr">
        <is>
          <t>2026-M06</t>
        </is>
      </c>
      <c r="B10" s="42" t="inlineStr">
        <is>
          <t>Juni</t>
        </is>
      </c>
      <c r="C10" s="34" t="n">
        <v>26500000</v>
      </c>
      <c r="D10" s="34" t="n">
        <v>24900000</v>
      </c>
      <c r="E10" s="34" t="n">
        <v>27000000</v>
      </c>
      <c r="F10" s="34">
        <f>D10-E10</f>
        <v/>
      </c>
      <c r="G10" s="34">
        <f>D10-C10</f>
        <v/>
      </c>
      <c r="H10" s="35">
        <f>D10/E10</f>
        <v/>
      </c>
      <c r="I10" s="35">
        <f>D10/C10</f>
        <v/>
      </c>
    </row>
    <row r="11">
      <c r="A11" s="33" t="inlineStr">
        <is>
          <t>2026-M07</t>
        </is>
      </c>
      <c r="B11" s="42" t="inlineStr">
        <is>
          <t>Juli</t>
        </is>
      </c>
      <c r="C11" s="34" t="n">
        <v>30000000</v>
      </c>
      <c r="D11" s="34" t="n">
        <v>28000000</v>
      </c>
      <c r="E11" s="34" t="n">
        <v>30500000</v>
      </c>
      <c r="F11" s="34">
        <f>D11-E11</f>
        <v/>
      </c>
      <c r="G11" s="34">
        <f>D11-C11</f>
        <v/>
      </c>
      <c r="H11" s="35">
        <f>D11/E11</f>
        <v/>
      </c>
      <c r="I11" s="35">
        <f>D11/C11</f>
        <v/>
      </c>
    </row>
    <row r="12">
      <c r="A12" s="33" t="inlineStr">
        <is>
          <t>2026-M08</t>
        </is>
      </c>
      <c r="B12" s="42" t="inlineStr">
        <is>
          <t>August</t>
        </is>
      </c>
      <c r="C12" s="34" t="n">
        <v>34500000</v>
      </c>
      <c r="D12" s="34" t="n">
        <v>32100000</v>
      </c>
      <c r="E12" s="34" t="n">
        <v>35200000</v>
      </c>
      <c r="F12" s="34">
        <f>D12-E12</f>
        <v/>
      </c>
      <c r="G12" s="34">
        <f>D12-C12</f>
        <v/>
      </c>
      <c r="H12" s="35">
        <f>D12/E12</f>
        <v/>
      </c>
      <c r="I12" s="35">
        <f>D12/C12</f>
        <v/>
      </c>
    </row>
    <row r="13">
      <c r="A13" s="33" t="inlineStr">
        <is>
          <t>2026-M09</t>
        </is>
      </c>
      <c r="B13" s="42" t="inlineStr">
        <is>
          <t>September</t>
        </is>
      </c>
      <c r="C13" s="34" t="n">
        <v>38000000</v>
      </c>
      <c r="D13" s="34" t="n">
        <v>35000000</v>
      </c>
      <c r="E13" s="34" t="n">
        <v>38500000</v>
      </c>
      <c r="F13" s="34">
        <f>D13-E13</f>
        <v/>
      </c>
      <c r="G13" s="34">
        <f>D13-C13</f>
        <v/>
      </c>
      <c r="H13" s="35">
        <f>D13/E13</f>
        <v/>
      </c>
      <c r="I13" s="35">
        <f>D13/C13</f>
        <v/>
      </c>
    </row>
    <row r="14">
      <c r="A14" s="43" t="inlineStr">
        <is>
          <t>2026-M10</t>
        </is>
      </c>
      <c r="B14" s="43" t="inlineStr">
        <is>
          <t>Oktober (Aktuell)</t>
        </is>
      </c>
      <c r="C14" s="44" t="n">
        <v>41000000</v>
      </c>
      <c r="D14" s="44" t="n">
        <v>38400000</v>
      </c>
      <c r="E14" s="44" t="n">
        <v>41700000</v>
      </c>
      <c r="F14" s="44">
        <f>D14-E14</f>
        <v/>
      </c>
      <c r="G14" s="44">
        <f>D14-C14</f>
        <v/>
      </c>
      <c r="H14" s="45">
        <f>D14/E14</f>
        <v/>
      </c>
      <c r="I14" s="45">
        <f>D14/C14</f>
        <v/>
      </c>
    </row>
    <row r="15">
      <c r="A15" s="33" t="inlineStr">
        <is>
          <t>2026-M11</t>
        </is>
      </c>
      <c r="B15" s="42" t="inlineStr">
        <is>
          <t>November (Prognose)</t>
        </is>
      </c>
      <c r="C15" s="34" t="n">
        <v>55000000</v>
      </c>
      <c r="D15" s="46" t="n"/>
      <c r="E15" s="46" t="n"/>
      <c r="F15" s="46" t="inlineStr">
        <is>
          <t>-</t>
        </is>
      </c>
      <c r="G15" s="46" t="inlineStr">
        <is>
          <t>-</t>
        </is>
      </c>
      <c r="H15" s="46" t="inlineStr">
        <is>
          <t>-</t>
        </is>
      </c>
      <c r="I15" s="46" t="inlineStr">
        <is>
          <t>-</t>
        </is>
      </c>
    </row>
    <row r="16">
      <c r="A16" s="33" t="inlineStr">
        <is>
          <t>2026-M12</t>
        </is>
      </c>
      <c r="B16" s="42" t="inlineStr">
        <is>
          <t>Desember (BAC Mål)</t>
        </is>
      </c>
      <c r="C16" s="34" t="n">
        <v>71700000</v>
      </c>
      <c r="D16" s="46" t="n"/>
      <c r="E16" s="46" t="n"/>
      <c r="F16" s="46" t="inlineStr">
        <is>
          <t>-</t>
        </is>
      </c>
      <c r="G16" s="46" t="inlineStr">
        <is>
          <t>-</t>
        </is>
      </c>
      <c r="H16" s="46" t="inlineStr">
        <is>
          <t>-</t>
        </is>
      </c>
      <c r="I16" s="46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1" workbookViewId="0">
      <selection activeCell="A1" sqref="A1"/>
    </sheetView>
  </sheetViews>
  <sheetFormatPr baseColWidth="8" defaultRowHeight="15"/>
  <cols>
    <col width="109" customWidth="1" min="1" max="1"/>
    <col width="103" customWidth="1" min="2" max="2"/>
    <col width="33" customWidth="1" min="3" max="3"/>
    <col width="57" customWidth="1" min="4" max="4"/>
    <col width="32" customWidth="1" min="5" max="5"/>
  </cols>
  <sheetData>
    <row r="1">
      <c r="A1" s="1" t="inlineStr">
        <is>
          <t>Statlig Avsetningskontroll &amp; Preskriptiv Tiltaksmodell (F-05-20)</t>
        </is>
      </c>
    </row>
    <row r="2">
      <c r="A2" s="2" t="inlineStr">
        <is>
          <t>Kunnskapsdepartementets regelverk for overføring av ubrukte bevilgninger (Maks 5,0 % av Kap. 260 post 50)</t>
        </is>
      </c>
    </row>
    <row r="3"/>
    <row r="4">
      <c r="A4" s="3" t="inlineStr">
        <is>
          <t>Statlige Rammetall &amp; Gjeldende Status (2026-M10)</t>
        </is>
      </c>
    </row>
    <row r="5">
      <c r="A5" s="4" t="inlineStr">
        <is>
          <t>Bevilgningsparameter / Nøkkeltall</t>
        </is>
      </c>
      <c r="B5" s="4" t="inlineStr">
        <is>
          <t>Beløp (NOK)</t>
        </is>
      </c>
      <c r="C5" s="4" t="inlineStr">
        <is>
          <t>Andel av Ramme</t>
        </is>
      </c>
      <c r="D5" s="4" t="inlineStr">
        <is>
          <t>Status &amp; Merknad</t>
        </is>
      </c>
    </row>
    <row r="6">
      <c r="A6" s="5" t="inlineStr">
        <is>
          <t>Statlig Grunnbevilgning (Kap. 260, post 50)</t>
        </is>
      </c>
      <c r="B6" s="12" t="n">
        <v>1200000000</v>
      </c>
      <c r="C6" s="47" t="n">
        <v>1</v>
      </c>
      <c r="D6" s="6" t="inlineStr">
        <is>
          <t>Tildeling over statsbudsjettet 2026</t>
        </is>
      </c>
    </row>
    <row r="7">
      <c r="A7" s="5" t="inlineStr">
        <is>
          <t>Maksimalt Lovfestet Avsetningstak (5,0 %)</t>
        </is>
      </c>
      <c r="B7" s="12">
        <f>B6*0.05</f>
        <v/>
      </c>
      <c r="C7" s="47">
        <f>B7/B6</f>
        <v/>
      </c>
      <c r="D7" s="6" t="inlineStr">
        <is>
          <t>Grenseverdi fastsatt i rundskriv F-05-20</t>
        </is>
      </c>
    </row>
    <row r="8">
      <c r="A8" s="5" t="inlineStr">
        <is>
          <t>Reell Akkumulert Driftsavsetning (M10)</t>
        </is>
      </c>
      <c r="B8" s="12" t="n">
        <v>72000000</v>
      </c>
      <c r="C8" s="47">
        <f>B8/B6</f>
        <v/>
      </c>
      <c r="D8" s="6" t="inlineStr">
        <is>
          <t>Akkumulert overskudd/mindreforbruk per 31.10.2026</t>
        </is>
      </c>
    </row>
    <row r="9">
      <c r="A9" s="15" t="inlineStr">
        <is>
          <t>Beregnet Overskridelse (Eksponert for Inndragning)</t>
        </is>
      </c>
      <c r="B9" s="16">
        <f>MAX(0, B8-B7)</f>
        <v/>
      </c>
      <c r="C9" s="48">
        <f>B9/B6</f>
        <v/>
      </c>
      <c r="D9" s="18" t="inlineStr">
        <is>
          <t>DISPENSASJON PÅKREVD: Risiko for at KD inndrar midler</t>
        </is>
      </c>
    </row>
    <row r="10"/>
    <row r="11"/>
    <row r="12">
      <c r="A12" s="3" t="inlineStr">
        <is>
          <t>Preskriptiv Tiltaksmodell — Simulering av EOY-Balanse (Endre beløp i kolonne B for å simulere effekt)</t>
        </is>
      </c>
    </row>
    <row r="13">
      <c r="A13" s="10" t="inlineStr">
        <is>
          <t>Tiltaks-ID</t>
        </is>
      </c>
      <c r="B13" s="10" t="inlineStr">
        <is>
          <t>Tiltaksbeskrivelse / Strategisk Formål</t>
        </is>
      </c>
      <c r="C13" s="10" t="inlineStr">
        <is>
          <t>Simulert Tiltakskostnad (NOK)</t>
        </is>
      </c>
      <c r="D13" s="10" t="inlineStr">
        <is>
          <t>Foreslått Ansvarlig</t>
        </is>
      </c>
      <c r="E13" s="10" t="inlineStr">
        <is>
          <t>Gjennomførbarhet</t>
        </is>
      </c>
    </row>
    <row r="14">
      <c r="A14" s="7" t="inlineStr">
        <is>
          <t>T1</t>
        </is>
      </c>
      <c r="B14" s="6" t="inlineStr">
        <is>
          <t>Framskyndet utstyrsinnkjøp maritim lab og simulatorer</t>
        </is>
      </c>
      <c r="C14" s="49" t="n">
        <v>5000000</v>
      </c>
      <c r="D14" s="5" t="inlineStr">
        <is>
          <t>Fakultetsdirektør</t>
        </is>
      </c>
      <c r="E14" s="6" t="inlineStr">
        <is>
          <t>Høy - Anbud klart</t>
        </is>
      </c>
    </row>
    <row r="15">
      <c r="A15" s="7" t="inlineStr">
        <is>
          <t>T2</t>
        </is>
      </c>
      <c r="B15" s="6" t="inlineStr">
        <is>
          <t>Ekstraordinært IKT-vedlikehold &amp; energieffektivisering</t>
        </is>
      </c>
      <c r="C15" s="49" t="n">
        <v>4000000</v>
      </c>
      <c r="D15" s="5" t="inlineStr">
        <is>
          <t>Eiendomssjef</t>
        </is>
      </c>
      <c r="E15" s="6" t="inlineStr">
        <is>
          <t>Høy - Rammekontrakt</t>
        </is>
      </c>
    </row>
    <row r="16">
      <c r="A16" s="7" t="inlineStr">
        <is>
          <t>T3</t>
        </is>
      </c>
      <c r="B16" s="6" t="inlineStr">
        <is>
          <t>Strategiske såkornmidler til EU Horizon forskningskonsortier</t>
        </is>
      </c>
      <c r="C16" s="49" t="n">
        <v>2000000</v>
      </c>
      <c r="D16" s="5" t="inlineStr">
        <is>
          <t>Forskningsdekan</t>
        </is>
      </c>
      <c r="E16" s="6" t="inlineStr">
        <is>
          <t>Middels - Utlysning nov</t>
        </is>
      </c>
    </row>
    <row r="17">
      <c r="A17" s="7" t="inlineStr">
        <is>
          <t>T4</t>
        </is>
      </c>
      <c r="B17" s="6" t="inlineStr">
        <is>
          <t>Ph.d.- og postdoktor stipendiatrekrutteringspakke</t>
        </is>
      </c>
      <c r="C17" s="49" t="n">
        <v>1000000</v>
      </c>
      <c r="D17" s="5" t="inlineStr">
        <is>
          <t>Instituttleder</t>
        </is>
      </c>
      <c r="E17" s="6" t="inlineStr">
        <is>
          <t>Høy - Rekruttering igangsatt</t>
        </is>
      </c>
    </row>
    <row r="18">
      <c r="A18" s="38" t="inlineStr">
        <is>
          <t>SUM TILTAKSPLAN</t>
        </is>
      </c>
      <c r="B18" s="50" t="n"/>
      <c r="C18" s="39">
        <f>SUM(C14:C17)</f>
        <v/>
      </c>
      <c r="D18" s="50" t="n"/>
      <c r="E18" s="50" t="n"/>
    </row>
    <row r="19"/>
    <row r="20">
      <c r="A20" s="3" t="inlineStr">
        <is>
          <t>Revidert Sluttbalanse Prognose (EOY 2026)</t>
        </is>
      </c>
    </row>
    <row r="21">
      <c r="A21" s="5" t="inlineStr">
        <is>
          <t>Opprinnelig Akkumulert Driftsavsetning M10</t>
        </is>
      </c>
      <c r="B21" s="12">
        <f>B8</f>
        <v/>
      </c>
      <c r="C21" s="47">
        <f>B21/B6</f>
        <v/>
      </c>
    </row>
    <row r="22">
      <c r="A22" s="5" t="inlineStr">
        <is>
          <t>Total Effekt av Iverksatte Ledelsestiltak</t>
        </is>
      </c>
      <c r="B22" s="12">
        <f>C18</f>
        <v/>
      </c>
      <c r="C22" s="47">
        <f>B22/B6</f>
        <v/>
      </c>
    </row>
    <row r="23">
      <c r="A23" s="51" t="inlineStr">
        <is>
          <t>Revidert Prognostisert Driftsavsetning EOY</t>
        </is>
      </c>
      <c r="B23" s="44">
        <f>B21-B22</f>
        <v/>
      </c>
      <c r="C23" s="52">
        <f>B23/B6</f>
        <v/>
      </c>
    </row>
    <row r="24">
      <c r="A24" s="51" t="inlineStr">
        <is>
          <t>Revidert Overskridelse mot 5 % Tak</t>
        </is>
      </c>
      <c r="B24" s="44">
        <f>MAX(0, B23-B7)</f>
        <v/>
      </c>
      <c r="C24" s="52">
        <f>B24/B6</f>
        <v/>
      </c>
    </row>
    <row r="25">
      <c r="A25" s="53" t="inlineStr">
        <is>
          <t>Revidert Regelverksstatus</t>
        </is>
      </c>
      <c r="B25" s="54">
        <f>IF(B23&lt;=B7, "MÅL OPPNÅDD: INNENFOR 5,0 % GRENSE", "FORTSATT DISPENSASJONSBEHOV (Restbeløp søkes)")</f>
        <v/>
      </c>
      <c r="C25" s="5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1" workbookViewId="0">
      <selection activeCell="A1" sqref="A1"/>
    </sheetView>
  </sheetViews>
  <sheetFormatPr baseColWidth="8" defaultRowHeight="15"/>
  <cols>
    <col width="92" customWidth="1" min="1" max="1"/>
    <col width="18" customWidth="1" min="2" max="2"/>
    <col width="42" customWidth="1" min="3" max="3"/>
    <col width="70" customWidth="1" min="4" max="4"/>
    <col width="29" customWidth="1" min="5" max="5"/>
    <col width="26" customWidth="1" min="6" max="6"/>
    <col width="18" customWidth="1" min="7" max="7"/>
    <col width="17" customWidth="1" min="8" max="8"/>
    <col width="14" customWidth="1" min="9" max="9"/>
    <col width="12" customWidth="1" min="10" max="10"/>
    <col width="16" customWidth="1" min="11" max="11"/>
    <col width="107" customWidth="1" min="12" max="12"/>
    <col width="16" customWidth="1" min="13" max="13"/>
    <col width="20" customWidth="1" min="14" max="14"/>
  </cols>
  <sheetData>
    <row r="1">
      <c r="A1" s="1" t="inlineStr">
        <is>
          <t>DFØ &amp; UBW Internkontroll — Atestering, Bilagskontroll &amp; Sperrelister</t>
        </is>
      </c>
    </row>
    <row r="2">
      <c r="A2" s="2" t="inlineStr">
        <is>
          <t>Overvåking av 4-øyne-prinsippet, beløpsfullmakter, måltidsfradrag og bilagsdokumentasjon</t>
        </is>
      </c>
    </row>
    <row r="3"/>
    <row r="4">
      <c r="A4" s="3" t="inlineStr">
        <is>
          <t>Internkontroll Nøkkeltall (M10)</t>
        </is>
      </c>
    </row>
    <row r="5">
      <c r="A5" s="4" t="inlineStr">
        <is>
          <t>Område</t>
        </is>
      </c>
      <c r="B5" s="4" t="inlineStr">
        <is>
          <t>Scannede Saker</t>
        </is>
      </c>
      <c r="C5" s="4" t="inlineStr">
        <is>
          <t>Flagg / Avvik</t>
        </is>
      </c>
      <c r="D5" s="4" t="inlineStr">
        <is>
          <t>Eksponert Beløp</t>
        </is>
      </c>
      <c r="E5" s="4" t="inlineStr">
        <is>
          <t>Status Unit4</t>
        </is>
      </c>
    </row>
    <row r="6">
      <c r="A6" s="5" t="inlineStr">
        <is>
          <t>DFØ Reiseregninger (15 stk utvalg)</t>
        </is>
      </c>
      <c r="B6" s="56" t="n">
        <v>15</v>
      </c>
      <c r="C6" s="57">
        <f>COUNTIF(M12:M26, "FLAGGED")</f>
        <v/>
      </c>
      <c r="D6" s="12">
        <f>SUMIF(M12:M26, "FLAGGED", E12:E26)</f>
        <v/>
      </c>
      <c r="E6" s="24" t="inlineStr">
        <is>
          <t>7 Sperret for utbetaling</t>
        </is>
      </c>
    </row>
    <row r="7">
      <c r="A7" s="5" t="inlineStr">
        <is>
          <t>UBW Hovedboksposteringer (transaksjoner)</t>
        </is>
      </c>
      <c r="B7" s="56" t="n">
        <v>5</v>
      </c>
      <c r="C7" s="57">
        <f>COUNTIF(Fact_UBW_Audit!I2:I6, "&lt;&gt;OK")</f>
        <v/>
      </c>
      <c r="D7" s="12">
        <f>SUMIF(Fact_UBW_Audit!I2:I6, "&lt;&gt;OK", Fact_UBW_Audit!D2:D6)</f>
        <v/>
      </c>
      <c r="E7" s="5" t="inlineStr">
        <is>
          <t>1 Egengodkjenning flagget</t>
        </is>
      </c>
    </row>
    <row r="8">
      <c r="A8" s="58" t="inlineStr">
        <is>
          <t>TOTAL EKSPONERING</t>
        </is>
      </c>
      <c r="B8" s="59" t="n">
        <v>20</v>
      </c>
      <c r="C8" s="60">
        <f>C6+C7</f>
        <v/>
      </c>
      <c r="D8" s="61">
        <f>D6+D7</f>
        <v/>
      </c>
      <c r="E8" s="58" t="inlineStr">
        <is>
          <t>Sperrelister etablert</t>
        </is>
      </c>
    </row>
    <row r="9"/>
    <row r="10">
      <c r="A10" s="3" t="inlineStr">
        <is>
          <t>DFØ Reiseregninger — Detaljert Kontrollmatrise (tbl_Travel_Audit)</t>
        </is>
      </c>
    </row>
    <row r="11">
      <c r="A11" s="62" t="inlineStr">
        <is>
          <t>Reise-ID</t>
        </is>
      </c>
      <c r="B11" s="63" t="inlineStr">
        <is>
          <t>Ansatt Navn</t>
        </is>
      </c>
      <c r="C11" s="62" t="inlineStr">
        <is>
          <t>Dato</t>
        </is>
      </c>
      <c r="D11" s="63" t="inlineStr">
        <is>
          <t>Formål</t>
        </is>
      </c>
      <c r="E11" s="64" t="inlineStr">
        <is>
          <t>Beløp (NOK)</t>
        </is>
      </c>
      <c r="F11" s="63" t="inlineStr">
        <is>
          <t>Måltid Dekket</t>
        </is>
      </c>
      <c r="G11" s="63" t="inlineStr">
        <is>
          <t>Fradrag Utført</t>
        </is>
      </c>
      <c r="H11" s="64" t="inlineStr">
        <is>
          <t>Km Godtgj.</t>
        </is>
      </c>
      <c r="I11" s="63" t="inlineStr">
        <is>
          <t>Kvittering</t>
        </is>
      </c>
      <c r="J11" s="63" t="inlineStr">
        <is>
          <t>BDM ID</t>
        </is>
      </c>
      <c r="K11" s="63" t="inlineStr">
        <is>
          <t>Attestant ID</t>
        </is>
      </c>
      <c r="L11" s="63" t="inlineStr">
        <is>
          <t>Avviksbeskrivelse</t>
        </is>
      </c>
      <c r="M11" s="62" t="inlineStr">
        <is>
          <t>Audit Status</t>
        </is>
      </c>
      <c r="N11" s="62" t="inlineStr">
        <is>
          <t>Sperret i Unit4?</t>
        </is>
      </c>
    </row>
    <row r="12">
      <c r="A12" s="7" t="inlineStr">
        <is>
          <t>REISE-2026-001</t>
        </is>
      </c>
      <c r="B12" s="6" t="inlineStr">
        <is>
          <t>Ola Nordmann</t>
        </is>
      </c>
      <c r="C12" s="7" t="inlineStr">
        <is>
          <t>2026-01-12</t>
        </is>
      </c>
      <c r="D12" s="6" t="inlineStr">
        <is>
          <t>Fagkonferanse Bergen</t>
        </is>
      </c>
      <c r="E12" s="65" t="n">
        <v>3450</v>
      </c>
      <c r="F12" s="6" t="inlineStr">
        <is>
          <t>Lunsj, Middag</t>
        </is>
      </c>
      <c r="G12" s="6" t="inlineStr">
        <is>
          <t>JA</t>
        </is>
      </c>
      <c r="H12" s="66" t="n">
        <v>0</v>
      </c>
      <c r="I12" s="6" t="inlineStr">
        <is>
          <t>JA</t>
        </is>
      </c>
      <c r="J12" s="7" t="inlineStr">
        <is>
          <t>EMP-101</t>
        </is>
      </c>
      <c r="K12" s="7" t="inlineStr">
        <is>
          <t>EMP-102</t>
        </is>
      </c>
      <c r="L12" s="6" t="inlineStr">
        <is>
          <t>OK</t>
        </is>
      </c>
      <c r="M12" s="36" t="inlineStr">
        <is>
          <t>APPROVED</t>
        </is>
      </c>
      <c r="N12" s="36" t="inlineStr">
        <is>
          <t>NEI</t>
        </is>
      </c>
    </row>
    <row r="13">
      <c r="A13" s="67" t="inlineStr">
        <is>
          <t>REISE-2026-002</t>
        </is>
      </c>
      <c r="B13" s="19" t="inlineStr">
        <is>
          <t>Kari Hansen</t>
        </is>
      </c>
      <c r="C13" s="67" t="inlineStr">
        <is>
          <t>2026-01-15</t>
        </is>
      </c>
      <c r="D13" s="19" t="inlineStr">
        <is>
          <t>Møte Kunnskapsdepartementet</t>
        </is>
      </c>
      <c r="E13" s="68" t="n">
        <v>2100</v>
      </c>
      <c r="F13" s="19" t="inlineStr">
        <is>
          <t>Middag</t>
        </is>
      </c>
      <c r="G13" s="19" t="inlineStr">
        <is>
          <t>NEI</t>
        </is>
      </c>
      <c r="H13" s="69" t="n">
        <v>0</v>
      </c>
      <c r="I13" s="19" t="inlineStr">
        <is>
          <t>JA</t>
        </is>
      </c>
      <c r="J13" s="67" t="inlineStr">
        <is>
          <t>EMP-103</t>
        </is>
      </c>
      <c r="K13" s="67" t="inlineStr">
        <is>
          <t>EMP-104</t>
        </is>
      </c>
      <c r="L13" s="18" t="inlineStr">
        <is>
          <t>BRUDD_MALTID: Måltid var dekket (Middag), men måltidsfradrag er ikke trukket fra diett.</t>
        </is>
      </c>
      <c r="M13" s="37" t="inlineStr">
        <is>
          <t>FLAGGED</t>
        </is>
      </c>
      <c r="N13" s="37" t="inlineStr">
        <is>
          <t>JA</t>
        </is>
      </c>
    </row>
    <row r="14">
      <c r="A14" s="7" t="inlineStr">
        <is>
          <t>REISE-2026-003</t>
        </is>
      </c>
      <c r="B14" s="6" t="inlineStr">
        <is>
          <t>Per Olsen</t>
        </is>
      </c>
      <c r="C14" s="7" t="inlineStr">
        <is>
          <t>2026-01-18</t>
        </is>
      </c>
      <c r="D14" s="6" t="inlineStr">
        <is>
          <t>Feltarbeid Agder</t>
        </is>
      </c>
      <c r="E14" s="65" t="n">
        <v>850</v>
      </c>
      <c r="F14" s="6" t="inlineStr">
        <is>
          <t>Ingen</t>
        </is>
      </c>
      <c r="G14" s="6" t="inlineStr">
        <is>
          <t>JA</t>
        </is>
      </c>
      <c r="H14" s="66" t="n">
        <v>180</v>
      </c>
      <c r="I14" s="6" t="inlineStr">
        <is>
          <t>JA</t>
        </is>
      </c>
      <c r="J14" s="7" t="inlineStr">
        <is>
          <t>EMP-105</t>
        </is>
      </c>
      <c r="K14" s="7" t="inlineStr">
        <is>
          <t>EMP-106</t>
        </is>
      </c>
      <c r="L14" s="6" t="inlineStr">
        <is>
          <t>OK</t>
        </is>
      </c>
      <c r="M14" s="36" t="inlineStr">
        <is>
          <t>APPROVED</t>
        </is>
      </c>
      <c r="N14" s="36" t="inlineStr">
        <is>
          <t>NEI</t>
        </is>
      </c>
    </row>
    <row r="15">
      <c r="A15" s="67" t="inlineStr">
        <is>
          <t>REISE-2026-004</t>
        </is>
      </c>
      <c r="B15" s="19" t="inlineStr">
        <is>
          <t>Anne Berg</t>
        </is>
      </c>
      <c r="C15" s="67" t="inlineStr">
        <is>
          <t>2026-01-20</t>
        </is>
      </c>
      <c r="D15" s="19" t="inlineStr">
        <is>
          <t>Prosjektmøte EU Horizon</t>
        </is>
      </c>
      <c r="E15" s="68" t="n">
        <v>4800</v>
      </c>
      <c r="F15" s="19" t="inlineStr">
        <is>
          <t>Frokost, Lunsj</t>
        </is>
      </c>
      <c r="G15" s="19" t="inlineStr">
        <is>
          <t>JA</t>
        </is>
      </c>
      <c r="H15" s="69" t="n">
        <v>0</v>
      </c>
      <c r="I15" s="19" t="inlineStr">
        <is>
          <t>JA</t>
        </is>
      </c>
      <c r="J15" s="67" t="inlineStr">
        <is>
          <t>EMP-107</t>
        </is>
      </c>
      <c r="K15" s="67" t="inlineStr">
        <is>
          <t>EMP-107</t>
        </is>
      </c>
      <c r="L15" s="18" t="inlineStr">
        <is>
          <t>BRUDD_FIRE_OYNE: BDM og attestant er samme person (egengodkjenning).</t>
        </is>
      </c>
      <c r="M15" s="37" t="inlineStr">
        <is>
          <t>FLAGGED</t>
        </is>
      </c>
      <c r="N15" s="37" t="inlineStr">
        <is>
          <t>JA</t>
        </is>
      </c>
    </row>
    <row r="16">
      <c r="A16" s="67" t="inlineStr">
        <is>
          <t>REISE-2026-005</t>
        </is>
      </c>
      <c r="B16" s="19" t="inlineStr">
        <is>
          <t>Lars Lie</t>
        </is>
      </c>
      <c r="C16" s="67" t="inlineStr">
        <is>
          <t>2026-01-22</t>
        </is>
      </c>
      <c r="D16" s="19" t="inlineStr">
        <is>
          <t>Deltakelse forskningsseminar Trondheim</t>
        </is>
      </c>
      <c r="E16" s="68" t="n">
        <v>3200</v>
      </c>
      <c r="F16" s="19" t="inlineStr">
        <is>
          <t>Frokost, Lunsj, Middag</t>
        </is>
      </c>
      <c r="G16" s="19" t="inlineStr">
        <is>
          <t>NEI</t>
        </is>
      </c>
      <c r="H16" s="69" t="n">
        <v>0</v>
      </c>
      <c r="I16" s="19" t="inlineStr">
        <is>
          <t>JA</t>
        </is>
      </c>
      <c r="J16" s="67" t="inlineStr">
        <is>
          <t>EMP-108</t>
        </is>
      </c>
      <c r="K16" s="67" t="inlineStr">
        <is>
          <t>EMP-109</t>
        </is>
      </c>
      <c r="L16" s="18" t="inlineStr">
        <is>
          <t>BRUDD_MALTID: Måltid var dekket (Frokost, Lunsj, Middag), men måltidsfradrag er ikke trukket fra diett.</t>
        </is>
      </c>
      <c r="M16" s="37" t="inlineStr">
        <is>
          <t>FLAGGED</t>
        </is>
      </c>
      <c r="N16" s="37" t="inlineStr">
        <is>
          <t>JA</t>
        </is>
      </c>
    </row>
    <row r="17">
      <c r="A17" s="67" t="inlineStr">
        <is>
          <t>REISE-2026-006</t>
        </is>
      </c>
      <c r="B17" s="19" t="inlineStr">
        <is>
          <t>Eva Sunde</t>
        </is>
      </c>
      <c r="C17" s="67" t="inlineStr">
        <is>
          <t>2026-01-25</t>
        </is>
      </c>
      <c r="D17" s="19" t="inlineStr">
        <is>
          <t>Kort møte Arendal</t>
        </is>
      </c>
      <c r="E17" s="68" t="n">
        <v>450</v>
      </c>
      <c r="F17" s="19" t="inlineStr">
        <is>
          <t>Ingen</t>
        </is>
      </c>
      <c r="G17" s="19" t="inlineStr">
        <is>
          <t>JA</t>
        </is>
      </c>
      <c r="H17" s="69" t="n">
        <v>65</v>
      </c>
      <c r="I17" s="19" t="inlineStr">
        <is>
          <t>JA</t>
        </is>
      </c>
      <c r="J17" s="67" t="inlineStr">
        <is>
          <t>EMP-110</t>
        </is>
      </c>
      <c r="K17" s="67" t="inlineStr">
        <is>
          <t>EMP-111</t>
        </is>
      </c>
      <c r="L17" s="18" t="inlineStr">
        <is>
          <t>BRUDD_KM_RUTE: Kilometergodtgjørelse krever spesifisert rutebeskrivelse.</t>
        </is>
      </c>
      <c r="M17" s="37" t="inlineStr">
        <is>
          <t>FLAGGED</t>
        </is>
      </c>
      <c r="N17" s="37" t="inlineStr">
        <is>
          <t>JA</t>
        </is>
      </c>
    </row>
    <row r="18">
      <c r="A18" s="67" t="inlineStr">
        <is>
          <t>REISE-2026-007</t>
        </is>
      </c>
      <c r="B18" s="19" t="inlineStr">
        <is>
          <t>Kjetil Dahl</t>
        </is>
      </c>
      <c r="C18" s="67" t="inlineStr">
        <is>
          <t>2026-01-28</t>
        </is>
      </c>
      <c r="D18" s="19" t="inlineStr">
        <is>
          <t>Taxi til flyplass Kjevik</t>
        </is>
      </c>
      <c r="E18" s="68" t="n">
        <v>620</v>
      </c>
      <c r="F18" s="19" t="inlineStr">
        <is>
          <t>Ingen</t>
        </is>
      </c>
      <c r="G18" s="19" t="inlineStr">
        <is>
          <t>JA</t>
        </is>
      </c>
      <c r="H18" s="69" t="n">
        <v>0</v>
      </c>
      <c r="I18" s="19" t="inlineStr">
        <is>
          <t>NEI</t>
        </is>
      </c>
      <c r="J18" s="67" t="inlineStr">
        <is>
          <t>EMP-112</t>
        </is>
      </c>
      <c r="K18" s="67" t="inlineStr">
        <is>
          <t>EMP-113</t>
        </is>
      </c>
      <c r="L18" s="18" t="inlineStr">
        <is>
          <t>BRUDD_KVITTERING: Beløp over 100 NOK mangler vedlagt originalkvittering.</t>
        </is>
      </c>
      <c r="M18" s="37" t="inlineStr">
        <is>
          <t>FLAGGED</t>
        </is>
      </c>
      <c r="N18" s="37" t="inlineStr">
        <is>
          <t>JA</t>
        </is>
      </c>
    </row>
    <row r="19">
      <c r="A19" s="7" t="inlineStr">
        <is>
          <t>REISE-2026-008</t>
        </is>
      </c>
      <c r="B19" s="6" t="inlineStr">
        <is>
          <t>Guri Moe</t>
        </is>
      </c>
      <c r="C19" s="7" t="inlineStr">
        <is>
          <t>2026-02-02</t>
        </is>
      </c>
      <c r="D19" s="6" t="inlineStr">
        <is>
          <t>AACSB Akkrediteringsmøte</t>
        </is>
      </c>
      <c r="E19" s="65" t="n">
        <v>8900</v>
      </c>
      <c r="F19" s="6" t="inlineStr">
        <is>
          <t>Lunsj</t>
        </is>
      </c>
      <c r="G19" s="6" t="inlineStr">
        <is>
          <t>JA</t>
        </is>
      </c>
      <c r="H19" s="66" t="n">
        <v>0</v>
      </c>
      <c r="I19" s="6" t="inlineStr">
        <is>
          <t>JA</t>
        </is>
      </c>
      <c r="J19" s="7" t="inlineStr">
        <is>
          <t>EMP-114</t>
        </is>
      </c>
      <c r="K19" s="7" t="inlineStr">
        <is>
          <t>EMP-115</t>
        </is>
      </c>
      <c r="L19" s="6" t="inlineStr">
        <is>
          <t>OK</t>
        </is>
      </c>
      <c r="M19" s="36" t="inlineStr">
        <is>
          <t>APPROVED</t>
        </is>
      </c>
      <c r="N19" s="36" t="inlineStr">
        <is>
          <t>NEI</t>
        </is>
      </c>
    </row>
    <row r="20">
      <c r="A20" s="7" t="inlineStr">
        <is>
          <t>REISE-2026-009</t>
        </is>
      </c>
      <c r="B20" s="6" t="inlineStr">
        <is>
          <t>Svein Bakke</t>
        </is>
      </c>
      <c r="C20" s="7" t="inlineStr">
        <is>
          <t>2026-02-05</t>
        </is>
      </c>
      <c r="D20" s="6" t="inlineStr">
        <is>
          <t>Bedriftsbesøk Kristiansand</t>
        </is>
      </c>
      <c r="E20" s="65" t="n">
        <v>310</v>
      </c>
      <c r="F20" s="6" t="inlineStr">
        <is>
          <t>Ingen</t>
        </is>
      </c>
      <c r="G20" s="6" t="inlineStr">
        <is>
          <t>JA</t>
        </is>
      </c>
      <c r="H20" s="66" t="n">
        <v>0</v>
      </c>
      <c r="I20" s="6" t="inlineStr">
        <is>
          <t>JA</t>
        </is>
      </c>
      <c r="J20" s="7" t="inlineStr">
        <is>
          <t>EMP-116</t>
        </is>
      </c>
      <c r="K20" s="7" t="inlineStr">
        <is>
          <t>EMP-117</t>
        </is>
      </c>
      <c r="L20" s="6" t="inlineStr">
        <is>
          <t>OK</t>
        </is>
      </c>
      <c r="M20" s="36" t="inlineStr">
        <is>
          <t>APPROVED</t>
        </is>
      </c>
      <c r="N20" s="36" t="inlineStr">
        <is>
          <t>NEI</t>
        </is>
      </c>
    </row>
    <row r="21">
      <c r="A21" s="7" t="inlineStr">
        <is>
          <t>REISE-2026-010</t>
        </is>
      </c>
      <c r="B21" s="6" t="inlineStr">
        <is>
          <t>Monika Vik</t>
        </is>
      </c>
      <c r="C21" s="7" t="inlineStr">
        <is>
          <t>2026-02-08</t>
        </is>
      </c>
      <c r="D21" s="6" t="inlineStr">
        <is>
          <t>Gjesteforelesning UiO</t>
        </is>
      </c>
      <c r="E21" s="65" t="n">
        <v>2750</v>
      </c>
      <c r="F21" s="6" t="inlineStr">
        <is>
          <t>Lunsj, Middag</t>
        </is>
      </c>
      <c r="G21" s="6" t="inlineStr">
        <is>
          <t>JA</t>
        </is>
      </c>
      <c r="H21" s="66" t="n">
        <v>0</v>
      </c>
      <c r="I21" s="6" t="inlineStr">
        <is>
          <t>JA</t>
        </is>
      </c>
      <c r="J21" s="7" t="inlineStr">
        <is>
          <t>EMP-118</t>
        </is>
      </c>
      <c r="K21" s="7" t="inlineStr">
        <is>
          <t>EMP-119</t>
        </is>
      </c>
      <c r="L21" s="6" t="inlineStr">
        <is>
          <t>OK</t>
        </is>
      </c>
      <c r="M21" s="36" t="inlineStr">
        <is>
          <t>APPROVED</t>
        </is>
      </c>
      <c r="N21" s="36" t="inlineStr">
        <is>
          <t>NEI</t>
        </is>
      </c>
    </row>
    <row r="22">
      <c r="A22" s="67" t="inlineStr">
        <is>
          <t>REISE-2026-011</t>
        </is>
      </c>
      <c r="B22" s="19" t="inlineStr">
        <is>
          <t>Tor Haug</t>
        </is>
      </c>
      <c r="C22" s="67" t="inlineStr">
        <is>
          <t>2026-02-11</t>
        </is>
      </c>
      <c r="D22" s="19" t="inlineStr">
        <is>
          <t>Middagsrepresentasjon eksterne partnere</t>
        </is>
      </c>
      <c r="E22" s="68" t="n">
        <v>1850</v>
      </c>
      <c r="F22" s="19" t="inlineStr">
        <is>
          <t>Middag</t>
        </is>
      </c>
      <c r="G22" s="19" t="inlineStr">
        <is>
          <t>JA</t>
        </is>
      </c>
      <c r="H22" s="69" t="n">
        <v>0</v>
      </c>
      <c r="I22" s="19" t="inlineStr">
        <is>
          <t>NEI</t>
        </is>
      </c>
      <c r="J22" s="67" t="inlineStr">
        <is>
          <t>EMP-120</t>
        </is>
      </c>
      <c r="K22" s="67" t="inlineStr">
        <is>
          <t>EMP-121</t>
        </is>
      </c>
      <c r="L22" s="18" t="inlineStr">
        <is>
          <t>BRUDD_KVITTERING: Beløp over 100 NOK mangler vedlagt originalkvittering.</t>
        </is>
      </c>
      <c r="M22" s="37" t="inlineStr">
        <is>
          <t>FLAGGED</t>
        </is>
      </c>
      <c r="N22" s="37" t="inlineStr">
        <is>
          <t>JA</t>
        </is>
      </c>
    </row>
    <row r="23">
      <c r="A23" s="7" t="inlineStr">
        <is>
          <t>REISE-2026-012</t>
        </is>
      </c>
      <c r="B23" s="6" t="inlineStr">
        <is>
          <t>Ingrid Solberg</t>
        </is>
      </c>
      <c r="C23" s="7" t="inlineStr">
        <is>
          <t>2026-02-14</t>
        </is>
      </c>
      <c r="D23" s="6" t="inlineStr">
        <is>
          <t>Styremøte NFR Oslo</t>
        </is>
      </c>
      <c r="E23" s="65" t="n">
        <v>3900</v>
      </c>
      <c r="F23" s="6" t="inlineStr">
        <is>
          <t>Frokost</t>
        </is>
      </c>
      <c r="G23" s="6" t="inlineStr">
        <is>
          <t>JA</t>
        </is>
      </c>
      <c r="H23" s="66" t="n">
        <v>0</v>
      </c>
      <c r="I23" s="6" t="inlineStr">
        <is>
          <t>JA</t>
        </is>
      </c>
      <c r="J23" s="7" t="inlineStr">
        <is>
          <t>EMP-122</t>
        </is>
      </c>
      <c r="K23" s="7" t="inlineStr">
        <is>
          <t>EMP-123</t>
        </is>
      </c>
      <c r="L23" s="6" t="inlineStr">
        <is>
          <t>OK</t>
        </is>
      </c>
      <c r="M23" s="36" t="inlineStr">
        <is>
          <t>APPROVED</t>
        </is>
      </c>
      <c r="N23" s="36" t="inlineStr">
        <is>
          <t>NEI</t>
        </is>
      </c>
    </row>
    <row r="24">
      <c r="A24" s="7" t="inlineStr">
        <is>
          <t>REISE-2026-013</t>
        </is>
      </c>
      <c r="B24" s="6" t="inlineStr">
        <is>
          <t>Knut Rønning</t>
        </is>
      </c>
      <c r="C24" s="7" t="inlineStr">
        <is>
          <t>2026-02-18</t>
        </is>
      </c>
      <c r="D24" s="6" t="inlineStr">
        <is>
          <t>Kjøring til nettverkssamling Grimstad</t>
        </is>
      </c>
      <c r="E24" s="65" t="n">
        <v>420</v>
      </c>
      <c r="F24" s="6" t="inlineStr">
        <is>
          <t>Ingen</t>
        </is>
      </c>
      <c r="G24" s="6" t="inlineStr">
        <is>
          <t>JA</t>
        </is>
      </c>
      <c r="H24" s="66" t="n">
        <v>90</v>
      </c>
      <c r="I24" s="6" t="inlineStr">
        <is>
          <t>JA</t>
        </is>
      </c>
      <c r="J24" s="7" t="inlineStr">
        <is>
          <t>EMP-124</t>
        </is>
      </c>
      <c r="K24" s="7" t="inlineStr">
        <is>
          <t>EMP-125</t>
        </is>
      </c>
      <c r="L24" s="6" t="inlineStr">
        <is>
          <t>OK</t>
        </is>
      </c>
      <c r="M24" s="36" t="inlineStr">
        <is>
          <t>APPROVED</t>
        </is>
      </c>
      <c r="N24" s="36" t="inlineStr">
        <is>
          <t>NEI</t>
        </is>
      </c>
    </row>
    <row r="25">
      <c r="A25" s="67" t="inlineStr">
        <is>
          <t>REISE-2026-014</t>
        </is>
      </c>
      <c r="B25" s="19" t="inlineStr">
        <is>
          <t>Hilde Bø</t>
        </is>
      </c>
      <c r="C25" s="67" t="inlineStr">
        <is>
          <t>2026-02-21</t>
        </is>
      </c>
      <c r="D25" s="19" t="inlineStr">
        <is>
          <t>Doktorgradsdisputas Tromsø</t>
        </is>
      </c>
      <c r="E25" s="68" t="n">
        <v>6400</v>
      </c>
      <c r="F25" s="19" t="inlineStr">
        <is>
          <t>Lunsj</t>
        </is>
      </c>
      <c r="G25" s="19" t="inlineStr">
        <is>
          <t>JA</t>
        </is>
      </c>
      <c r="H25" s="69" t="n">
        <v>0</v>
      </c>
      <c r="I25" s="19" t="inlineStr">
        <is>
          <t>JA</t>
        </is>
      </c>
      <c r="J25" s="67" t="inlineStr">
        <is>
          <t>EMP-126</t>
        </is>
      </c>
      <c r="K25" s="67" t="inlineStr">
        <is>
          <t>EMP-126</t>
        </is>
      </c>
      <c r="L25" s="18" t="inlineStr">
        <is>
          <t>BRUDD_FIRE_OYNE: BDM og attestant er samme person (egengodkjenning).</t>
        </is>
      </c>
      <c r="M25" s="37" t="inlineStr">
        <is>
          <t>FLAGGED</t>
        </is>
      </c>
      <c r="N25" s="37" t="inlineStr">
        <is>
          <t>JA</t>
        </is>
      </c>
    </row>
    <row r="26">
      <c r="A26" s="7" t="inlineStr">
        <is>
          <t>REISE-2026-015</t>
        </is>
      </c>
      <c r="B26" s="6" t="inlineStr">
        <is>
          <t>Morten Hagen</t>
        </is>
      </c>
      <c r="C26" s="7" t="inlineStr">
        <is>
          <t>2026-02-25</t>
        </is>
      </c>
      <c r="D26" s="6" t="inlineStr">
        <is>
          <t>Utlegg parkering Gardermoen</t>
        </is>
      </c>
      <c r="E26" s="65" t="n">
        <v>850</v>
      </c>
      <c r="F26" s="6" t="inlineStr">
        <is>
          <t>Ingen</t>
        </is>
      </c>
      <c r="G26" s="6" t="inlineStr">
        <is>
          <t>JA</t>
        </is>
      </c>
      <c r="H26" s="66" t="n">
        <v>0</v>
      </c>
      <c r="I26" s="6" t="inlineStr">
        <is>
          <t>JA</t>
        </is>
      </c>
      <c r="J26" s="7" t="inlineStr">
        <is>
          <t>EMP-127</t>
        </is>
      </c>
      <c r="K26" s="7" t="inlineStr">
        <is>
          <t>EMP-128</t>
        </is>
      </c>
      <c r="L26" s="6" t="inlineStr">
        <is>
          <t>OK</t>
        </is>
      </c>
      <c r="M26" s="36" t="inlineStr">
        <is>
          <t>APPROVED</t>
        </is>
      </c>
      <c r="N26" s="36" t="inlineStr">
        <is>
          <t>NEI</t>
        </is>
      </c>
    </row>
    <row r="27">
      <c r="A27" s="38" t="inlineStr">
        <is>
          <t>TOTALT REISEREGNINGER</t>
        </is>
      </c>
      <c r="B27" s="50" t="n"/>
      <c r="C27" s="50" t="n"/>
      <c r="D27" s="50" t="n"/>
      <c r="E27" s="39">
        <f>SUM(E12:E26)</f>
        <v/>
      </c>
      <c r="F27" s="50" t="n"/>
      <c r="G27" s="50" t="n"/>
      <c r="H27" s="70">
        <f>SUM(H12:H26)</f>
        <v/>
      </c>
      <c r="I27" s="50" t="n"/>
      <c r="J27" s="50" t="n"/>
      <c r="K27" s="50" t="n"/>
      <c r="L27" s="50" t="n"/>
      <c r="M27" s="50" t="n"/>
      <c r="N27" s="50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29" customWidth="1" min="3" max="3"/>
    <col width="22" customWidth="1" min="4" max="4"/>
    <col width="32" customWidth="1" min="5" max="5"/>
    <col width="20" customWidth="1" min="6" max="6"/>
    <col width="12" customWidth="1" min="7" max="7"/>
  </cols>
  <sheetData>
    <row r="1">
      <c r="A1" s="31" t="inlineStr">
        <is>
          <t>project_id</t>
        </is>
      </c>
      <c r="B1" s="31" t="inlineStr">
        <is>
          <t>project_name</t>
        </is>
      </c>
      <c r="C1" s="31" t="inlineStr">
        <is>
          <t>department</t>
        </is>
      </c>
      <c r="D1" s="31" t="inlineStr">
        <is>
          <t>pm_name</t>
        </is>
      </c>
      <c r="E1" s="31" t="inlineStr">
        <is>
          <t>category</t>
        </is>
      </c>
      <c r="F1" s="32" t="inlineStr">
        <is>
          <t>bac</t>
        </is>
      </c>
      <c r="G1" s="31" t="inlineStr">
        <is>
          <t>status</t>
        </is>
      </c>
    </row>
    <row r="2">
      <c r="A2" s="7" t="inlineStr">
        <is>
          <t>UM-DEF-02</t>
        </is>
      </c>
      <c r="B2" s="6" t="inlineStr">
        <is>
          <t>Forsvarsforskning Agder (Skrogmodell)</t>
        </is>
      </c>
      <c r="C2" s="6" t="inlineStr">
        <is>
          <t>Teknologi og realfag</t>
        </is>
      </c>
      <c r="D2" s="6" t="inlineStr">
        <is>
          <t>Prof. T. Gundersen</t>
        </is>
      </c>
      <c r="E2" s="6" t="inlineStr">
        <is>
          <t>Forsvarskontrakt</t>
        </is>
      </c>
      <c r="F2" s="13" t="n">
        <v>18500000</v>
      </c>
      <c r="G2" s="6" t="inlineStr">
        <is>
          <t>ON TRACK</t>
        </is>
      </c>
    </row>
    <row r="3">
      <c r="A3" s="7" t="inlineStr">
        <is>
          <t>UM-ENG-03</t>
        </is>
      </c>
      <c r="B3" s="6" t="inlineStr">
        <is>
          <t>Ingeniørutdanning Fornybar (Komposittlab)</t>
        </is>
      </c>
      <c r="C3" s="6" t="inlineStr">
        <is>
          <t>Ingeniørvitenskap</t>
        </is>
      </c>
      <c r="D3" s="6" t="inlineStr">
        <is>
          <t>Dr. E. Hansen</t>
        </is>
      </c>
      <c r="E3" s="6" t="inlineStr">
        <is>
          <t>Utdanning / Lab</t>
        </is>
      </c>
      <c r="F3" s="13" t="n">
        <v>8200000</v>
      </c>
      <c r="G3" s="6" t="inlineStr">
        <is>
          <t>CRITICAL</t>
        </is>
      </c>
    </row>
    <row r="4">
      <c r="A4" s="7" t="inlineStr">
        <is>
          <t>UM-FPV-01</t>
        </is>
      </c>
      <c r="B4" s="6" t="inlineStr">
        <is>
          <t>Fotovoltaikk Solceller (Maritim Lab)</t>
        </is>
      </c>
      <c r="C4" s="6" t="inlineStr">
        <is>
          <t>Fornybar Energi</t>
        </is>
      </c>
      <c r="D4" s="6" t="inlineStr">
        <is>
          <t>Prof. S. Vik</t>
        </is>
      </c>
      <c r="E4" s="6" t="inlineStr">
        <is>
          <t>Investering / FOU</t>
        </is>
      </c>
      <c r="F4" s="13" t="n">
        <v>45000000</v>
      </c>
      <c r="G4" s="6" t="inlineStr">
        <is>
          <t>CRITICAL</t>
        </is>
      </c>
    </row>
    <row r="5">
      <c r="A5" s="7" t="inlineStr">
        <is>
          <t>NFR001</t>
        </is>
      </c>
      <c r="B5" s="6" t="inlineStr">
        <is>
          <t>NFR-AI: Kunstig intelligens i styring</t>
        </is>
      </c>
      <c r="C5" s="6" t="inlineStr">
        <is>
          <t>Handelshøyskolen</t>
        </is>
      </c>
      <c r="D5" s="6" t="inlineStr">
        <is>
          <t>Prof. R. Møller</t>
        </is>
      </c>
      <c r="E5" s="6" t="inlineStr">
        <is>
          <t>NFR Forskning (SRS 10)</t>
        </is>
      </c>
      <c r="F5" s="13" t="n">
        <v>4000000</v>
      </c>
      <c r="G5" s="6" t="inlineStr">
        <is>
          <t>WARNING</t>
        </is>
      </c>
    </row>
    <row r="6">
      <c r="A6" s="7" t="inlineStr">
        <is>
          <t>NFR002</t>
        </is>
      </c>
      <c r="B6" s="6" t="inlineStr">
        <is>
          <t>NFR-Helse: Pasientsikkerhet i helsefag</t>
        </is>
      </c>
      <c r="C6" s="6" t="inlineStr">
        <is>
          <t>Helse- og idrettsfag</t>
        </is>
      </c>
      <c r="D6" s="6" t="inlineStr">
        <is>
          <t>Dr. K. Strand</t>
        </is>
      </c>
      <c r="E6" s="6" t="inlineStr">
        <is>
          <t>NFR Forskning (SRS 10)</t>
        </is>
      </c>
      <c r="F6" s="13" t="n">
        <v>2800000</v>
      </c>
      <c r="G6" s="6" t="inlineStr">
        <is>
          <t>ON TRACK</t>
        </is>
      </c>
    </row>
    <row r="7">
      <c r="A7" s="7" t="inlineStr">
        <is>
          <t>EU001</t>
        </is>
      </c>
      <c r="B7" s="6" t="inlineStr">
        <is>
          <t>EU Horizon: Green Maritime Tech</t>
        </is>
      </c>
      <c r="C7" s="6" t="inlineStr">
        <is>
          <t>Teknologi og realfag</t>
        </is>
      </c>
      <c r="D7" s="6" t="inlineStr">
        <is>
          <t>Prof. H. Berg</t>
        </is>
      </c>
      <c r="E7" s="6" t="inlineStr">
        <is>
          <t>EU Horizon Europe (SRS 10)</t>
        </is>
      </c>
      <c r="F7" s="13" t="n">
        <v>6200000</v>
      </c>
      <c r="G7" s="6" t="inlineStr">
        <is>
          <t>ON TRACK</t>
        </is>
      </c>
    </row>
    <row r="8">
      <c r="A8" s="7" t="inlineStr">
        <is>
          <t>EU002</t>
        </is>
      </c>
      <c r="B8" s="6" t="inlineStr">
        <is>
          <t>EU Horizon: Digital Governance</t>
        </is>
      </c>
      <c r="C8" s="6" t="inlineStr">
        <is>
          <t>Samfunnsvitenskap</t>
        </is>
      </c>
      <c r="D8" s="6" t="inlineStr">
        <is>
          <t>Dr. L. Aas</t>
        </is>
      </c>
      <c r="E8" s="6" t="inlineStr">
        <is>
          <t>EU Horizon Europe (SRS 10)</t>
        </is>
      </c>
      <c r="F8" s="13" t="n">
        <v>4500000</v>
      </c>
      <c r="G8" s="6" t="inlineStr">
        <is>
          <t>ON TRACK</t>
        </is>
      </c>
    </row>
    <row r="9">
      <c r="A9" s="7" t="inlineStr">
        <is>
          <t>EVU001</t>
        </is>
      </c>
      <c r="B9" s="6" t="inlineStr">
        <is>
          <t>EVU Videreutdanning for kommuner</t>
        </is>
      </c>
      <c r="C9" s="6" t="inlineStr">
        <is>
          <t>Etter- og videreutdanning</t>
        </is>
      </c>
      <c r="D9" s="6" t="inlineStr">
        <is>
          <t>A. Lie</t>
        </is>
      </c>
      <c r="E9" s="6" t="inlineStr">
        <is>
          <t>Oppdragsundervisning (SRS 9)</t>
        </is>
      </c>
      <c r="F9" s="13" t="n">
        <v>1200000</v>
      </c>
      <c r="G9" s="6" t="inlineStr">
        <is>
          <t>CRITICAL</t>
        </is>
      </c>
    </row>
    <row r="10">
      <c r="A10" s="7" t="inlineStr">
        <is>
          <t>OPPDRAG01</t>
        </is>
      </c>
      <c r="B10" s="6" t="inlineStr">
        <is>
          <t>Oppdragsforskning Batteriteknologi</t>
        </is>
      </c>
      <c r="C10" s="6" t="inlineStr">
        <is>
          <t>Teknologi og realfag</t>
        </is>
      </c>
      <c r="D10" s="6" t="inlineStr">
        <is>
          <t>Dr. O. Dale</t>
        </is>
      </c>
      <c r="E10" s="6" t="inlineStr">
        <is>
          <t>Næringslivsoppdrag (SRS 9)</t>
        </is>
      </c>
      <c r="F10" s="13" t="n">
        <v>1800000</v>
      </c>
      <c r="G10" s="6" t="inlineStr">
        <is>
          <t>ON TRACK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3" customWidth="1" min="4" max="4"/>
    <col width="19" customWidth="1" min="5" max="5"/>
    <col width="12" customWidth="1" min="6" max="6"/>
  </cols>
  <sheetData>
    <row r="1">
      <c r="A1" s="4" t="inlineStr">
        <is>
          <t>Date</t>
        </is>
      </c>
      <c r="B1" s="4" t="inlineStr">
        <is>
          <t>Year</t>
        </is>
      </c>
      <c r="C1" s="4" t="inlineStr">
        <is>
          <t>Month</t>
        </is>
      </c>
      <c r="D1" s="4" t="inlineStr">
        <is>
          <t>MonthName</t>
        </is>
      </c>
      <c r="E1" s="4" t="inlineStr">
        <is>
          <t>ReportingPeriod</t>
        </is>
      </c>
      <c r="F1" s="4" t="inlineStr">
        <is>
          <t>Quarter</t>
        </is>
      </c>
    </row>
    <row r="2">
      <c r="A2" s="7" t="inlineStr">
        <is>
          <t>2026-01-01</t>
        </is>
      </c>
      <c r="B2" s="66" t="n">
        <v>2026</v>
      </c>
      <c r="C2" s="66" t="n">
        <v>1</v>
      </c>
      <c r="D2" s="6" t="inlineStr">
        <is>
          <t>January</t>
        </is>
      </c>
      <c r="E2" s="7" t="inlineStr">
        <is>
          <t>2026-M01</t>
        </is>
      </c>
      <c r="F2" s="66" t="n">
        <v>1</v>
      </c>
    </row>
    <row r="3">
      <c r="A3" s="7" t="inlineStr">
        <is>
          <t>2026-01-02</t>
        </is>
      </c>
      <c r="B3" s="66" t="n">
        <v>2026</v>
      </c>
      <c r="C3" s="66" t="n">
        <v>1</v>
      </c>
      <c r="D3" s="6" t="inlineStr">
        <is>
          <t>January</t>
        </is>
      </c>
      <c r="E3" s="7" t="inlineStr">
        <is>
          <t>2026-M01</t>
        </is>
      </c>
      <c r="F3" s="66" t="n">
        <v>1</v>
      </c>
    </row>
    <row r="4">
      <c r="A4" s="7" t="inlineStr">
        <is>
          <t>2026-01-03</t>
        </is>
      </c>
      <c r="B4" s="66" t="n">
        <v>2026</v>
      </c>
      <c r="C4" s="66" t="n">
        <v>1</v>
      </c>
      <c r="D4" s="6" t="inlineStr">
        <is>
          <t>January</t>
        </is>
      </c>
      <c r="E4" s="7" t="inlineStr">
        <is>
          <t>2026-M01</t>
        </is>
      </c>
      <c r="F4" s="66" t="n">
        <v>1</v>
      </c>
    </row>
    <row r="5">
      <c r="A5" s="7" t="inlineStr">
        <is>
          <t>2026-01-04</t>
        </is>
      </c>
      <c r="B5" s="66" t="n">
        <v>2026</v>
      </c>
      <c r="C5" s="66" t="n">
        <v>1</v>
      </c>
      <c r="D5" s="6" t="inlineStr">
        <is>
          <t>January</t>
        </is>
      </c>
      <c r="E5" s="7" t="inlineStr">
        <is>
          <t>2026-M01</t>
        </is>
      </c>
      <c r="F5" s="66" t="n">
        <v>1</v>
      </c>
    </row>
    <row r="6">
      <c r="A6" s="7" t="inlineStr">
        <is>
          <t>2026-01-05</t>
        </is>
      </c>
      <c r="B6" s="66" t="n">
        <v>2026</v>
      </c>
      <c r="C6" s="66" t="n">
        <v>1</v>
      </c>
      <c r="D6" s="6" t="inlineStr">
        <is>
          <t>January</t>
        </is>
      </c>
      <c r="E6" s="7" t="inlineStr">
        <is>
          <t>2026-M01</t>
        </is>
      </c>
      <c r="F6" s="66" t="n">
        <v>1</v>
      </c>
    </row>
    <row r="7">
      <c r="A7" s="7" t="inlineStr">
        <is>
          <t>2026-01-06</t>
        </is>
      </c>
      <c r="B7" s="66" t="n">
        <v>2026</v>
      </c>
      <c r="C7" s="66" t="n">
        <v>1</v>
      </c>
      <c r="D7" s="6" t="inlineStr">
        <is>
          <t>January</t>
        </is>
      </c>
      <c r="E7" s="7" t="inlineStr">
        <is>
          <t>2026-M01</t>
        </is>
      </c>
      <c r="F7" s="66" t="n">
        <v>1</v>
      </c>
    </row>
    <row r="8">
      <c r="A8" s="7" t="inlineStr">
        <is>
          <t>2026-01-07</t>
        </is>
      </c>
      <c r="B8" s="66" t="n">
        <v>2026</v>
      </c>
      <c r="C8" s="66" t="n">
        <v>1</v>
      </c>
      <c r="D8" s="6" t="inlineStr">
        <is>
          <t>January</t>
        </is>
      </c>
      <c r="E8" s="7" t="inlineStr">
        <is>
          <t>2026-M01</t>
        </is>
      </c>
      <c r="F8" s="66" t="n">
        <v>1</v>
      </c>
    </row>
    <row r="9">
      <c r="A9" s="7" t="inlineStr">
        <is>
          <t>2026-01-08</t>
        </is>
      </c>
      <c r="B9" s="66" t="n">
        <v>2026</v>
      </c>
      <c r="C9" s="66" t="n">
        <v>1</v>
      </c>
      <c r="D9" s="6" t="inlineStr">
        <is>
          <t>January</t>
        </is>
      </c>
      <c r="E9" s="7" t="inlineStr">
        <is>
          <t>2026-M01</t>
        </is>
      </c>
      <c r="F9" s="66" t="n">
        <v>1</v>
      </c>
    </row>
    <row r="10">
      <c r="A10" s="7" t="inlineStr">
        <is>
          <t>2026-01-09</t>
        </is>
      </c>
      <c r="B10" s="66" t="n">
        <v>2026</v>
      </c>
      <c r="C10" s="66" t="n">
        <v>1</v>
      </c>
      <c r="D10" s="6" t="inlineStr">
        <is>
          <t>January</t>
        </is>
      </c>
      <c r="E10" s="7" t="inlineStr">
        <is>
          <t>2026-M01</t>
        </is>
      </c>
      <c r="F10" s="66" t="n">
        <v>1</v>
      </c>
    </row>
    <row r="11">
      <c r="A11" s="7" t="inlineStr">
        <is>
          <t>2026-01-10</t>
        </is>
      </c>
      <c r="B11" s="66" t="n">
        <v>2026</v>
      </c>
      <c r="C11" s="66" t="n">
        <v>1</v>
      </c>
      <c r="D11" s="6" t="inlineStr">
        <is>
          <t>January</t>
        </is>
      </c>
      <c r="E11" s="7" t="inlineStr">
        <is>
          <t>2026-M01</t>
        </is>
      </c>
      <c r="F11" s="66" t="n">
        <v>1</v>
      </c>
    </row>
    <row r="12">
      <c r="A12" s="7" t="inlineStr">
        <is>
          <t>2026-01-11</t>
        </is>
      </c>
      <c r="B12" s="66" t="n">
        <v>2026</v>
      </c>
      <c r="C12" s="66" t="n">
        <v>1</v>
      </c>
      <c r="D12" s="6" t="inlineStr">
        <is>
          <t>January</t>
        </is>
      </c>
      <c r="E12" s="7" t="inlineStr">
        <is>
          <t>2026-M01</t>
        </is>
      </c>
      <c r="F12" s="66" t="n">
        <v>1</v>
      </c>
    </row>
    <row r="13">
      <c r="A13" s="7" t="inlineStr">
        <is>
          <t>2026-01-12</t>
        </is>
      </c>
      <c r="B13" s="66" t="n">
        <v>2026</v>
      </c>
      <c r="C13" s="66" t="n">
        <v>1</v>
      </c>
      <c r="D13" s="6" t="inlineStr">
        <is>
          <t>January</t>
        </is>
      </c>
      <c r="E13" s="7" t="inlineStr">
        <is>
          <t>2026-M01</t>
        </is>
      </c>
      <c r="F13" s="66" t="n">
        <v>1</v>
      </c>
    </row>
    <row r="14">
      <c r="A14" s="7" t="inlineStr">
        <is>
          <t>2026-01-13</t>
        </is>
      </c>
      <c r="B14" s="66" t="n">
        <v>2026</v>
      </c>
      <c r="C14" s="66" t="n">
        <v>1</v>
      </c>
      <c r="D14" s="6" t="inlineStr">
        <is>
          <t>January</t>
        </is>
      </c>
      <c r="E14" s="7" t="inlineStr">
        <is>
          <t>2026-M01</t>
        </is>
      </c>
      <c r="F14" s="66" t="n">
        <v>1</v>
      </c>
    </row>
    <row r="15">
      <c r="A15" s="7" t="inlineStr">
        <is>
          <t>2026-01-14</t>
        </is>
      </c>
      <c r="B15" s="66" t="n">
        <v>2026</v>
      </c>
      <c r="C15" s="66" t="n">
        <v>1</v>
      </c>
      <c r="D15" s="6" t="inlineStr">
        <is>
          <t>January</t>
        </is>
      </c>
      <c r="E15" s="7" t="inlineStr">
        <is>
          <t>2026-M01</t>
        </is>
      </c>
      <c r="F15" s="66" t="n">
        <v>1</v>
      </c>
    </row>
    <row r="16">
      <c r="A16" s="7" t="inlineStr">
        <is>
          <t>2026-01-15</t>
        </is>
      </c>
      <c r="B16" s="66" t="n">
        <v>2026</v>
      </c>
      <c r="C16" s="66" t="n">
        <v>1</v>
      </c>
      <c r="D16" s="6" t="inlineStr">
        <is>
          <t>January</t>
        </is>
      </c>
      <c r="E16" s="7" t="inlineStr">
        <is>
          <t>2026-M01</t>
        </is>
      </c>
      <c r="F16" s="66" t="n">
        <v>1</v>
      </c>
    </row>
    <row r="17">
      <c r="A17" s="7" t="inlineStr">
        <is>
          <t>2026-01-16</t>
        </is>
      </c>
      <c r="B17" s="66" t="n">
        <v>2026</v>
      </c>
      <c r="C17" s="66" t="n">
        <v>1</v>
      </c>
      <c r="D17" s="6" t="inlineStr">
        <is>
          <t>January</t>
        </is>
      </c>
      <c r="E17" s="7" t="inlineStr">
        <is>
          <t>2026-M01</t>
        </is>
      </c>
      <c r="F17" s="66" t="n">
        <v>1</v>
      </c>
    </row>
    <row r="18">
      <c r="A18" s="7" t="inlineStr">
        <is>
          <t>2026-01-17</t>
        </is>
      </c>
      <c r="B18" s="66" t="n">
        <v>2026</v>
      </c>
      <c r="C18" s="66" t="n">
        <v>1</v>
      </c>
      <c r="D18" s="6" t="inlineStr">
        <is>
          <t>January</t>
        </is>
      </c>
      <c r="E18" s="7" t="inlineStr">
        <is>
          <t>2026-M01</t>
        </is>
      </c>
      <c r="F18" s="66" t="n">
        <v>1</v>
      </c>
    </row>
    <row r="19">
      <c r="A19" s="7" t="inlineStr">
        <is>
          <t>2026-01-18</t>
        </is>
      </c>
      <c r="B19" s="66" t="n">
        <v>2026</v>
      </c>
      <c r="C19" s="66" t="n">
        <v>1</v>
      </c>
      <c r="D19" s="6" t="inlineStr">
        <is>
          <t>January</t>
        </is>
      </c>
      <c r="E19" s="7" t="inlineStr">
        <is>
          <t>2026-M01</t>
        </is>
      </c>
      <c r="F19" s="66" t="n">
        <v>1</v>
      </c>
    </row>
    <row r="20">
      <c r="A20" s="7" t="inlineStr">
        <is>
          <t>2026-01-19</t>
        </is>
      </c>
      <c r="B20" s="66" t="n">
        <v>2026</v>
      </c>
      <c r="C20" s="66" t="n">
        <v>1</v>
      </c>
      <c r="D20" s="6" t="inlineStr">
        <is>
          <t>January</t>
        </is>
      </c>
      <c r="E20" s="7" t="inlineStr">
        <is>
          <t>2026-M01</t>
        </is>
      </c>
      <c r="F20" s="66" t="n">
        <v>1</v>
      </c>
    </row>
    <row r="21">
      <c r="A21" s="7" t="inlineStr">
        <is>
          <t>2026-01-20</t>
        </is>
      </c>
      <c r="B21" s="66" t="n">
        <v>2026</v>
      </c>
      <c r="C21" s="66" t="n">
        <v>1</v>
      </c>
      <c r="D21" s="6" t="inlineStr">
        <is>
          <t>January</t>
        </is>
      </c>
      <c r="E21" s="7" t="inlineStr">
        <is>
          <t>2026-M01</t>
        </is>
      </c>
      <c r="F21" s="66" t="n">
        <v>1</v>
      </c>
    </row>
    <row r="22">
      <c r="A22" s="7" t="inlineStr">
        <is>
          <t>2026-01-21</t>
        </is>
      </c>
      <c r="B22" s="66" t="n">
        <v>2026</v>
      </c>
      <c r="C22" s="66" t="n">
        <v>1</v>
      </c>
      <c r="D22" s="6" t="inlineStr">
        <is>
          <t>January</t>
        </is>
      </c>
      <c r="E22" s="7" t="inlineStr">
        <is>
          <t>2026-M01</t>
        </is>
      </c>
      <c r="F22" s="66" t="n">
        <v>1</v>
      </c>
    </row>
    <row r="23">
      <c r="A23" s="7" t="inlineStr">
        <is>
          <t>2026-01-22</t>
        </is>
      </c>
      <c r="B23" s="66" t="n">
        <v>2026</v>
      </c>
      <c r="C23" s="66" t="n">
        <v>1</v>
      </c>
      <c r="D23" s="6" t="inlineStr">
        <is>
          <t>January</t>
        </is>
      </c>
      <c r="E23" s="7" t="inlineStr">
        <is>
          <t>2026-M01</t>
        </is>
      </c>
      <c r="F23" s="66" t="n">
        <v>1</v>
      </c>
    </row>
    <row r="24">
      <c r="A24" s="7" t="inlineStr">
        <is>
          <t>2026-01-23</t>
        </is>
      </c>
      <c r="B24" s="66" t="n">
        <v>2026</v>
      </c>
      <c r="C24" s="66" t="n">
        <v>1</v>
      </c>
      <c r="D24" s="6" t="inlineStr">
        <is>
          <t>January</t>
        </is>
      </c>
      <c r="E24" s="7" t="inlineStr">
        <is>
          <t>2026-M01</t>
        </is>
      </c>
      <c r="F24" s="66" t="n">
        <v>1</v>
      </c>
    </row>
    <row r="25">
      <c r="A25" s="7" t="inlineStr">
        <is>
          <t>2026-01-24</t>
        </is>
      </c>
      <c r="B25" s="66" t="n">
        <v>2026</v>
      </c>
      <c r="C25" s="66" t="n">
        <v>1</v>
      </c>
      <c r="D25" s="6" t="inlineStr">
        <is>
          <t>January</t>
        </is>
      </c>
      <c r="E25" s="7" t="inlineStr">
        <is>
          <t>2026-M01</t>
        </is>
      </c>
      <c r="F25" s="66" t="n">
        <v>1</v>
      </c>
    </row>
    <row r="26">
      <c r="A26" s="7" t="inlineStr">
        <is>
          <t>2026-01-25</t>
        </is>
      </c>
      <c r="B26" s="66" t="n">
        <v>2026</v>
      </c>
      <c r="C26" s="66" t="n">
        <v>1</v>
      </c>
      <c r="D26" s="6" t="inlineStr">
        <is>
          <t>January</t>
        </is>
      </c>
      <c r="E26" s="7" t="inlineStr">
        <is>
          <t>2026-M01</t>
        </is>
      </c>
      <c r="F26" s="66" t="n">
        <v>1</v>
      </c>
    </row>
    <row r="27">
      <c r="A27" s="7" t="inlineStr">
        <is>
          <t>2026-01-26</t>
        </is>
      </c>
      <c r="B27" s="66" t="n">
        <v>2026</v>
      </c>
      <c r="C27" s="66" t="n">
        <v>1</v>
      </c>
      <c r="D27" s="6" t="inlineStr">
        <is>
          <t>January</t>
        </is>
      </c>
      <c r="E27" s="7" t="inlineStr">
        <is>
          <t>2026-M01</t>
        </is>
      </c>
      <c r="F27" s="66" t="n">
        <v>1</v>
      </c>
    </row>
    <row r="28">
      <c r="A28" s="7" t="inlineStr">
        <is>
          <t>2026-01-27</t>
        </is>
      </c>
      <c r="B28" s="66" t="n">
        <v>2026</v>
      </c>
      <c r="C28" s="66" t="n">
        <v>1</v>
      </c>
      <c r="D28" s="6" t="inlineStr">
        <is>
          <t>January</t>
        </is>
      </c>
      <c r="E28" s="7" t="inlineStr">
        <is>
          <t>2026-M01</t>
        </is>
      </c>
      <c r="F28" s="66" t="n">
        <v>1</v>
      </c>
    </row>
    <row r="29">
      <c r="A29" s="7" t="inlineStr">
        <is>
          <t>2026-01-28</t>
        </is>
      </c>
      <c r="B29" s="66" t="n">
        <v>2026</v>
      </c>
      <c r="C29" s="66" t="n">
        <v>1</v>
      </c>
      <c r="D29" s="6" t="inlineStr">
        <is>
          <t>January</t>
        </is>
      </c>
      <c r="E29" s="7" t="inlineStr">
        <is>
          <t>2026-M01</t>
        </is>
      </c>
      <c r="F29" s="66" t="n">
        <v>1</v>
      </c>
    </row>
    <row r="30">
      <c r="A30" s="7" t="inlineStr">
        <is>
          <t>2026-01-29</t>
        </is>
      </c>
      <c r="B30" s="66" t="n">
        <v>2026</v>
      </c>
      <c r="C30" s="66" t="n">
        <v>1</v>
      </c>
      <c r="D30" s="6" t="inlineStr">
        <is>
          <t>January</t>
        </is>
      </c>
      <c r="E30" s="7" t="inlineStr">
        <is>
          <t>2026-M01</t>
        </is>
      </c>
      <c r="F30" s="66" t="n">
        <v>1</v>
      </c>
    </row>
    <row r="31">
      <c r="A31" s="7" t="inlineStr">
        <is>
          <t>2026-01-30</t>
        </is>
      </c>
      <c r="B31" s="66" t="n">
        <v>2026</v>
      </c>
      <c r="C31" s="66" t="n">
        <v>1</v>
      </c>
      <c r="D31" s="6" t="inlineStr">
        <is>
          <t>January</t>
        </is>
      </c>
      <c r="E31" s="7" t="inlineStr">
        <is>
          <t>2026-M01</t>
        </is>
      </c>
      <c r="F31" s="66" t="n">
        <v>1</v>
      </c>
    </row>
    <row r="32">
      <c r="A32" s="7" t="inlineStr">
        <is>
          <t>2026-01-31</t>
        </is>
      </c>
      <c r="B32" s="66" t="n">
        <v>2026</v>
      </c>
      <c r="C32" s="66" t="n">
        <v>1</v>
      </c>
      <c r="D32" s="6" t="inlineStr">
        <is>
          <t>January</t>
        </is>
      </c>
      <c r="E32" s="7" t="inlineStr">
        <is>
          <t>2026-M01</t>
        </is>
      </c>
      <c r="F32" s="66" t="n">
        <v>1</v>
      </c>
    </row>
    <row r="33">
      <c r="A33" s="7" t="inlineStr">
        <is>
          <t>2026-02-01</t>
        </is>
      </c>
      <c r="B33" s="66" t="n">
        <v>2026</v>
      </c>
      <c r="C33" s="66" t="n">
        <v>2</v>
      </c>
      <c r="D33" s="6" t="inlineStr">
        <is>
          <t>February</t>
        </is>
      </c>
      <c r="E33" s="7" t="inlineStr">
        <is>
          <t>2026-M02</t>
        </is>
      </c>
      <c r="F33" s="66" t="n">
        <v>1</v>
      </c>
    </row>
    <row r="34">
      <c r="A34" s="7" t="inlineStr">
        <is>
          <t>2026-02-02</t>
        </is>
      </c>
      <c r="B34" s="66" t="n">
        <v>2026</v>
      </c>
      <c r="C34" s="66" t="n">
        <v>2</v>
      </c>
      <c r="D34" s="6" t="inlineStr">
        <is>
          <t>February</t>
        </is>
      </c>
      <c r="E34" s="7" t="inlineStr">
        <is>
          <t>2026-M02</t>
        </is>
      </c>
      <c r="F34" s="66" t="n">
        <v>1</v>
      </c>
    </row>
    <row r="35">
      <c r="A35" s="7" t="inlineStr">
        <is>
          <t>2026-02-03</t>
        </is>
      </c>
      <c r="B35" s="66" t="n">
        <v>2026</v>
      </c>
      <c r="C35" s="66" t="n">
        <v>2</v>
      </c>
      <c r="D35" s="6" t="inlineStr">
        <is>
          <t>February</t>
        </is>
      </c>
      <c r="E35" s="7" t="inlineStr">
        <is>
          <t>2026-M02</t>
        </is>
      </c>
      <c r="F35" s="66" t="n">
        <v>1</v>
      </c>
    </row>
    <row r="36">
      <c r="A36" s="7" t="inlineStr">
        <is>
          <t>2026-02-04</t>
        </is>
      </c>
      <c r="B36" s="66" t="n">
        <v>2026</v>
      </c>
      <c r="C36" s="66" t="n">
        <v>2</v>
      </c>
      <c r="D36" s="6" t="inlineStr">
        <is>
          <t>February</t>
        </is>
      </c>
      <c r="E36" s="7" t="inlineStr">
        <is>
          <t>2026-M02</t>
        </is>
      </c>
      <c r="F36" s="66" t="n">
        <v>1</v>
      </c>
    </row>
    <row r="37">
      <c r="A37" s="7" t="inlineStr">
        <is>
          <t>2026-02-05</t>
        </is>
      </c>
      <c r="B37" s="66" t="n">
        <v>2026</v>
      </c>
      <c r="C37" s="66" t="n">
        <v>2</v>
      </c>
      <c r="D37" s="6" t="inlineStr">
        <is>
          <t>February</t>
        </is>
      </c>
      <c r="E37" s="7" t="inlineStr">
        <is>
          <t>2026-M02</t>
        </is>
      </c>
      <c r="F37" s="66" t="n">
        <v>1</v>
      </c>
    </row>
    <row r="38">
      <c r="A38" s="7" t="inlineStr">
        <is>
          <t>2026-02-06</t>
        </is>
      </c>
      <c r="B38" s="66" t="n">
        <v>2026</v>
      </c>
      <c r="C38" s="66" t="n">
        <v>2</v>
      </c>
      <c r="D38" s="6" t="inlineStr">
        <is>
          <t>February</t>
        </is>
      </c>
      <c r="E38" s="7" t="inlineStr">
        <is>
          <t>2026-M02</t>
        </is>
      </c>
      <c r="F38" s="66" t="n">
        <v>1</v>
      </c>
    </row>
    <row r="39">
      <c r="A39" s="7" t="inlineStr">
        <is>
          <t>2026-02-07</t>
        </is>
      </c>
      <c r="B39" s="66" t="n">
        <v>2026</v>
      </c>
      <c r="C39" s="66" t="n">
        <v>2</v>
      </c>
      <c r="D39" s="6" t="inlineStr">
        <is>
          <t>February</t>
        </is>
      </c>
      <c r="E39" s="7" t="inlineStr">
        <is>
          <t>2026-M02</t>
        </is>
      </c>
      <c r="F39" s="66" t="n">
        <v>1</v>
      </c>
    </row>
    <row r="40">
      <c r="A40" s="7" t="inlineStr">
        <is>
          <t>2026-02-08</t>
        </is>
      </c>
      <c r="B40" s="66" t="n">
        <v>2026</v>
      </c>
      <c r="C40" s="66" t="n">
        <v>2</v>
      </c>
      <c r="D40" s="6" t="inlineStr">
        <is>
          <t>February</t>
        </is>
      </c>
      <c r="E40" s="7" t="inlineStr">
        <is>
          <t>2026-M02</t>
        </is>
      </c>
      <c r="F40" s="66" t="n">
        <v>1</v>
      </c>
    </row>
    <row r="41">
      <c r="A41" s="7" t="inlineStr">
        <is>
          <t>2026-02-09</t>
        </is>
      </c>
      <c r="B41" s="66" t="n">
        <v>2026</v>
      </c>
      <c r="C41" s="66" t="n">
        <v>2</v>
      </c>
      <c r="D41" s="6" t="inlineStr">
        <is>
          <t>February</t>
        </is>
      </c>
      <c r="E41" s="7" t="inlineStr">
        <is>
          <t>2026-M02</t>
        </is>
      </c>
      <c r="F41" s="66" t="n">
        <v>1</v>
      </c>
    </row>
    <row r="42">
      <c r="A42" s="7" t="inlineStr">
        <is>
          <t>2026-02-10</t>
        </is>
      </c>
      <c r="B42" s="66" t="n">
        <v>2026</v>
      </c>
      <c r="C42" s="66" t="n">
        <v>2</v>
      </c>
      <c r="D42" s="6" t="inlineStr">
        <is>
          <t>February</t>
        </is>
      </c>
      <c r="E42" s="7" t="inlineStr">
        <is>
          <t>2026-M02</t>
        </is>
      </c>
      <c r="F42" s="66" t="n">
        <v>1</v>
      </c>
    </row>
    <row r="43">
      <c r="A43" s="7" t="inlineStr">
        <is>
          <t>2026-02-11</t>
        </is>
      </c>
      <c r="B43" s="66" t="n">
        <v>2026</v>
      </c>
      <c r="C43" s="66" t="n">
        <v>2</v>
      </c>
      <c r="D43" s="6" t="inlineStr">
        <is>
          <t>February</t>
        </is>
      </c>
      <c r="E43" s="7" t="inlineStr">
        <is>
          <t>2026-M02</t>
        </is>
      </c>
      <c r="F43" s="66" t="n">
        <v>1</v>
      </c>
    </row>
    <row r="44">
      <c r="A44" s="7" t="inlineStr">
        <is>
          <t>2026-02-12</t>
        </is>
      </c>
      <c r="B44" s="66" t="n">
        <v>2026</v>
      </c>
      <c r="C44" s="66" t="n">
        <v>2</v>
      </c>
      <c r="D44" s="6" t="inlineStr">
        <is>
          <t>February</t>
        </is>
      </c>
      <c r="E44" s="7" t="inlineStr">
        <is>
          <t>2026-M02</t>
        </is>
      </c>
      <c r="F44" s="66" t="n">
        <v>1</v>
      </c>
    </row>
    <row r="45">
      <c r="A45" s="7" t="inlineStr">
        <is>
          <t>2026-02-13</t>
        </is>
      </c>
      <c r="B45" s="66" t="n">
        <v>2026</v>
      </c>
      <c r="C45" s="66" t="n">
        <v>2</v>
      </c>
      <c r="D45" s="6" t="inlineStr">
        <is>
          <t>February</t>
        </is>
      </c>
      <c r="E45" s="7" t="inlineStr">
        <is>
          <t>2026-M02</t>
        </is>
      </c>
      <c r="F45" s="66" t="n">
        <v>1</v>
      </c>
    </row>
    <row r="46">
      <c r="A46" s="7" t="inlineStr">
        <is>
          <t>2026-02-14</t>
        </is>
      </c>
      <c r="B46" s="66" t="n">
        <v>2026</v>
      </c>
      <c r="C46" s="66" t="n">
        <v>2</v>
      </c>
      <c r="D46" s="6" t="inlineStr">
        <is>
          <t>February</t>
        </is>
      </c>
      <c r="E46" s="7" t="inlineStr">
        <is>
          <t>2026-M02</t>
        </is>
      </c>
      <c r="F46" s="66" t="n">
        <v>1</v>
      </c>
    </row>
    <row r="47">
      <c r="A47" s="7" t="inlineStr">
        <is>
          <t>2026-02-15</t>
        </is>
      </c>
      <c r="B47" s="66" t="n">
        <v>2026</v>
      </c>
      <c r="C47" s="66" t="n">
        <v>2</v>
      </c>
      <c r="D47" s="6" t="inlineStr">
        <is>
          <t>February</t>
        </is>
      </c>
      <c r="E47" s="7" t="inlineStr">
        <is>
          <t>2026-M02</t>
        </is>
      </c>
      <c r="F47" s="66" t="n">
        <v>1</v>
      </c>
    </row>
    <row r="48">
      <c r="A48" s="7" t="inlineStr">
        <is>
          <t>2026-02-16</t>
        </is>
      </c>
      <c r="B48" s="66" t="n">
        <v>2026</v>
      </c>
      <c r="C48" s="66" t="n">
        <v>2</v>
      </c>
      <c r="D48" s="6" t="inlineStr">
        <is>
          <t>February</t>
        </is>
      </c>
      <c r="E48" s="7" t="inlineStr">
        <is>
          <t>2026-M02</t>
        </is>
      </c>
      <c r="F48" s="66" t="n">
        <v>1</v>
      </c>
    </row>
    <row r="49">
      <c r="A49" s="7" t="inlineStr">
        <is>
          <t>2026-02-17</t>
        </is>
      </c>
      <c r="B49" s="66" t="n">
        <v>2026</v>
      </c>
      <c r="C49" s="66" t="n">
        <v>2</v>
      </c>
      <c r="D49" s="6" t="inlineStr">
        <is>
          <t>February</t>
        </is>
      </c>
      <c r="E49" s="7" t="inlineStr">
        <is>
          <t>2026-M02</t>
        </is>
      </c>
      <c r="F49" s="66" t="n">
        <v>1</v>
      </c>
    </row>
    <row r="50">
      <c r="A50" s="7" t="inlineStr">
        <is>
          <t>2026-02-18</t>
        </is>
      </c>
      <c r="B50" s="66" t="n">
        <v>2026</v>
      </c>
      <c r="C50" s="66" t="n">
        <v>2</v>
      </c>
      <c r="D50" s="6" t="inlineStr">
        <is>
          <t>February</t>
        </is>
      </c>
      <c r="E50" s="7" t="inlineStr">
        <is>
          <t>2026-M02</t>
        </is>
      </c>
      <c r="F50" s="66" t="n">
        <v>1</v>
      </c>
    </row>
    <row r="51">
      <c r="A51" s="7" t="inlineStr">
        <is>
          <t>2026-02-19</t>
        </is>
      </c>
      <c r="B51" s="66" t="n">
        <v>2026</v>
      </c>
      <c r="C51" s="66" t="n">
        <v>2</v>
      </c>
      <c r="D51" s="6" t="inlineStr">
        <is>
          <t>February</t>
        </is>
      </c>
      <c r="E51" s="7" t="inlineStr">
        <is>
          <t>2026-M02</t>
        </is>
      </c>
      <c r="F51" s="66" t="n">
        <v>1</v>
      </c>
    </row>
    <row r="52">
      <c r="A52" s="7" t="inlineStr">
        <is>
          <t>2026-02-20</t>
        </is>
      </c>
      <c r="B52" s="66" t="n">
        <v>2026</v>
      </c>
      <c r="C52" s="66" t="n">
        <v>2</v>
      </c>
      <c r="D52" s="6" t="inlineStr">
        <is>
          <t>February</t>
        </is>
      </c>
      <c r="E52" s="7" t="inlineStr">
        <is>
          <t>2026-M02</t>
        </is>
      </c>
      <c r="F52" s="66" t="n">
        <v>1</v>
      </c>
    </row>
    <row r="53">
      <c r="A53" s="7" t="inlineStr">
        <is>
          <t>2026-02-21</t>
        </is>
      </c>
      <c r="B53" s="66" t="n">
        <v>2026</v>
      </c>
      <c r="C53" s="66" t="n">
        <v>2</v>
      </c>
      <c r="D53" s="6" t="inlineStr">
        <is>
          <t>February</t>
        </is>
      </c>
      <c r="E53" s="7" t="inlineStr">
        <is>
          <t>2026-M02</t>
        </is>
      </c>
      <c r="F53" s="66" t="n">
        <v>1</v>
      </c>
    </row>
    <row r="54">
      <c r="A54" s="7" t="inlineStr">
        <is>
          <t>2026-02-22</t>
        </is>
      </c>
      <c r="B54" s="66" t="n">
        <v>2026</v>
      </c>
      <c r="C54" s="66" t="n">
        <v>2</v>
      </c>
      <c r="D54" s="6" t="inlineStr">
        <is>
          <t>February</t>
        </is>
      </c>
      <c r="E54" s="7" t="inlineStr">
        <is>
          <t>2026-M02</t>
        </is>
      </c>
      <c r="F54" s="66" t="n">
        <v>1</v>
      </c>
    </row>
    <row r="55">
      <c r="A55" s="7" t="inlineStr">
        <is>
          <t>2026-02-23</t>
        </is>
      </c>
      <c r="B55" s="66" t="n">
        <v>2026</v>
      </c>
      <c r="C55" s="66" t="n">
        <v>2</v>
      </c>
      <c r="D55" s="6" t="inlineStr">
        <is>
          <t>February</t>
        </is>
      </c>
      <c r="E55" s="7" t="inlineStr">
        <is>
          <t>2026-M02</t>
        </is>
      </c>
      <c r="F55" s="66" t="n">
        <v>1</v>
      </c>
    </row>
    <row r="56">
      <c r="A56" s="7" t="inlineStr">
        <is>
          <t>2026-02-24</t>
        </is>
      </c>
      <c r="B56" s="66" t="n">
        <v>2026</v>
      </c>
      <c r="C56" s="66" t="n">
        <v>2</v>
      </c>
      <c r="D56" s="6" t="inlineStr">
        <is>
          <t>February</t>
        </is>
      </c>
      <c r="E56" s="7" t="inlineStr">
        <is>
          <t>2026-M02</t>
        </is>
      </c>
      <c r="F56" s="66" t="n">
        <v>1</v>
      </c>
    </row>
    <row r="57">
      <c r="A57" s="7" t="inlineStr">
        <is>
          <t>2026-02-25</t>
        </is>
      </c>
      <c r="B57" s="66" t="n">
        <v>2026</v>
      </c>
      <c r="C57" s="66" t="n">
        <v>2</v>
      </c>
      <c r="D57" s="6" t="inlineStr">
        <is>
          <t>February</t>
        </is>
      </c>
      <c r="E57" s="7" t="inlineStr">
        <is>
          <t>2026-M02</t>
        </is>
      </c>
      <c r="F57" s="66" t="n">
        <v>1</v>
      </c>
    </row>
    <row r="58">
      <c r="A58" s="7" t="inlineStr">
        <is>
          <t>2026-02-26</t>
        </is>
      </c>
      <c r="B58" s="66" t="n">
        <v>2026</v>
      </c>
      <c r="C58" s="66" t="n">
        <v>2</v>
      </c>
      <c r="D58" s="6" t="inlineStr">
        <is>
          <t>February</t>
        </is>
      </c>
      <c r="E58" s="7" t="inlineStr">
        <is>
          <t>2026-M02</t>
        </is>
      </c>
      <c r="F58" s="66" t="n">
        <v>1</v>
      </c>
    </row>
    <row r="59">
      <c r="A59" s="7" t="inlineStr">
        <is>
          <t>2026-02-27</t>
        </is>
      </c>
      <c r="B59" s="66" t="n">
        <v>2026</v>
      </c>
      <c r="C59" s="66" t="n">
        <v>2</v>
      </c>
      <c r="D59" s="6" t="inlineStr">
        <is>
          <t>February</t>
        </is>
      </c>
      <c r="E59" s="7" t="inlineStr">
        <is>
          <t>2026-M02</t>
        </is>
      </c>
      <c r="F59" s="66" t="n">
        <v>1</v>
      </c>
    </row>
    <row r="60">
      <c r="A60" s="7" t="inlineStr">
        <is>
          <t>2026-02-28</t>
        </is>
      </c>
      <c r="B60" s="66" t="n">
        <v>2026</v>
      </c>
      <c r="C60" s="66" t="n">
        <v>2</v>
      </c>
      <c r="D60" s="6" t="inlineStr">
        <is>
          <t>February</t>
        </is>
      </c>
      <c r="E60" s="7" t="inlineStr">
        <is>
          <t>2026-M02</t>
        </is>
      </c>
      <c r="F60" s="66" t="n">
        <v>1</v>
      </c>
    </row>
    <row r="61">
      <c r="A61" s="7" t="inlineStr">
        <is>
          <t>2026-03-01</t>
        </is>
      </c>
      <c r="B61" s="66" t="n">
        <v>2026</v>
      </c>
      <c r="C61" s="66" t="n">
        <v>3</v>
      </c>
      <c r="D61" s="6" t="inlineStr">
        <is>
          <t>March</t>
        </is>
      </c>
      <c r="E61" s="7" t="inlineStr">
        <is>
          <t>2026-M03</t>
        </is>
      </c>
      <c r="F61" s="66" t="n">
        <v>1</v>
      </c>
    </row>
    <row r="62">
      <c r="A62" s="7" t="inlineStr">
        <is>
          <t>2026-03-02</t>
        </is>
      </c>
      <c r="B62" s="66" t="n">
        <v>2026</v>
      </c>
      <c r="C62" s="66" t="n">
        <v>3</v>
      </c>
      <c r="D62" s="6" t="inlineStr">
        <is>
          <t>March</t>
        </is>
      </c>
      <c r="E62" s="7" t="inlineStr">
        <is>
          <t>2026-M03</t>
        </is>
      </c>
      <c r="F62" s="66" t="n">
        <v>1</v>
      </c>
    </row>
    <row r="63">
      <c r="A63" s="7" t="inlineStr">
        <is>
          <t>2026-03-03</t>
        </is>
      </c>
      <c r="B63" s="66" t="n">
        <v>2026</v>
      </c>
      <c r="C63" s="66" t="n">
        <v>3</v>
      </c>
      <c r="D63" s="6" t="inlineStr">
        <is>
          <t>March</t>
        </is>
      </c>
      <c r="E63" s="7" t="inlineStr">
        <is>
          <t>2026-M03</t>
        </is>
      </c>
      <c r="F63" s="66" t="n">
        <v>1</v>
      </c>
    </row>
    <row r="64">
      <c r="A64" s="7" t="inlineStr">
        <is>
          <t>2026-03-04</t>
        </is>
      </c>
      <c r="B64" s="66" t="n">
        <v>2026</v>
      </c>
      <c r="C64" s="66" t="n">
        <v>3</v>
      </c>
      <c r="D64" s="6" t="inlineStr">
        <is>
          <t>March</t>
        </is>
      </c>
      <c r="E64" s="7" t="inlineStr">
        <is>
          <t>2026-M03</t>
        </is>
      </c>
      <c r="F64" s="66" t="n">
        <v>1</v>
      </c>
    </row>
    <row r="65">
      <c r="A65" s="7" t="inlineStr">
        <is>
          <t>2026-03-05</t>
        </is>
      </c>
      <c r="B65" s="66" t="n">
        <v>2026</v>
      </c>
      <c r="C65" s="66" t="n">
        <v>3</v>
      </c>
      <c r="D65" s="6" t="inlineStr">
        <is>
          <t>March</t>
        </is>
      </c>
      <c r="E65" s="7" t="inlineStr">
        <is>
          <t>2026-M03</t>
        </is>
      </c>
      <c r="F65" s="66" t="n">
        <v>1</v>
      </c>
    </row>
    <row r="66">
      <c r="A66" s="7" t="inlineStr">
        <is>
          <t>2026-03-06</t>
        </is>
      </c>
      <c r="B66" s="66" t="n">
        <v>2026</v>
      </c>
      <c r="C66" s="66" t="n">
        <v>3</v>
      </c>
      <c r="D66" s="6" t="inlineStr">
        <is>
          <t>March</t>
        </is>
      </c>
      <c r="E66" s="7" t="inlineStr">
        <is>
          <t>2026-M03</t>
        </is>
      </c>
      <c r="F66" s="66" t="n">
        <v>1</v>
      </c>
    </row>
    <row r="67">
      <c r="A67" s="7" t="inlineStr">
        <is>
          <t>2026-03-07</t>
        </is>
      </c>
      <c r="B67" s="66" t="n">
        <v>2026</v>
      </c>
      <c r="C67" s="66" t="n">
        <v>3</v>
      </c>
      <c r="D67" s="6" t="inlineStr">
        <is>
          <t>March</t>
        </is>
      </c>
      <c r="E67" s="7" t="inlineStr">
        <is>
          <t>2026-M03</t>
        </is>
      </c>
      <c r="F67" s="66" t="n">
        <v>1</v>
      </c>
    </row>
    <row r="68">
      <c r="A68" s="7" t="inlineStr">
        <is>
          <t>2026-03-08</t>
        </is>
      </c>
      <c r="B68" s="66" t="n">
        <v>2026</v>
      </c>
      <c r="C68" s="66" t="n">
        <v>3</v>
      </c>
      <c r="D68" s="6" t="inlineStr">
        <is>
          <t>March</t>
        </is>
      </c>
      <c r="E68" s="7" t="inlineStr">
        <is>
          <t>2026-M03</t>
        </is>
      </c>
      <c r="F68" s="66" t="n">
        <v>1</v>
      </c>
    </row>
    <row r="69">
      <c r="A69" s="7" t="inlineStr">
        <is>
          <t>2026-03-09</t>
        </is>
      </c>
      <c r="B69" s="66" t="n">
        <v>2026</v>
      </c>
      <c r="C69" s="66" t="n">
        <v>3</v>
      </c>
      <c r="D69" s="6" t="inlineStr">
        <is>
          <t>March</t>
        </is>
      </c>
      <c r="E69" s="7" t="inlineStr">
        <is>
          <t>2026-M03</t>
        </is>
      </c>
      <c r="F69" s="66" t="n">
        <v>1</v>
      </c>
    </row>
    <row r="70">
      <c r="A70" s="7" t="inlineStr">
        <is>
          <t>2026-03-10</t>
        </is>
      </c>
      <c r="B70" s="66" t="n">
        <v>2026</v>
      </c>
      <c r="C70" s="66" t="n">
        <v>3</v>
      </c>
      <c r="D70" s="6" t="inlineStr">
        <is>
          <t>March</t>
        </is>
      </c>
      <c r="E70" s="7" t="inlineStr">
        <is>
          <t>2026-M03</t>
        </is>
      </c>
      <c r="F70" s="66" t="n">
        <v>1</v>
      </c>
    </row>
    <row r="71">
      <c r="A71" s="7" t="inlineStr">
        <is>
          <t>2026-03-11</t>
        </is>
      </c>
      <c r="B71" s="66" t="n">
        <v>2026</v>
      </c>
      <c r="C71" s="66" t="n">
        <v>3</v>
      </c>
      <c r="D71" s="6" t="inlineStr">
        <is>
          <t>March</t>
        </is>
      </c>
      <c r="E71" s="7" t="inlineStr">
        <is>
          <t>2026-M03</t>
        </is>
      </c>
      <c r="F71" s="66" t="n">
        <v>1</v>
      </c>
    </row>
    <row r="72">
      <c r="A72" s="7" t="inlineStr">
        <is>
          <t>2026-03-12</t>
        </is>
      </c>
      <c r="B72" s="66" t="n">
        <v>2026</v>
      </c>
      <c r="C72" s="66" t="n">
        <v>3</v>
      </c>
      <c r="D72" s="6" t="inlineStr">
        <is>
          <t>March</t>
        </is>
      </c>
      <c r="E72" s="7" t="inlineStr">
        <is>
          <t>2026-M03</t>
        </is>
      </c>
      <c r="F72" s="66" t="n">
        <v>1</v>
      </c>
    </row>
    <row r="73">
      <c r="A73" s="7" t="inlineStr">
        <is>
          <t>2026-03-13</t>
        </is>
      </c>
      <c r="B73" s="66" t="n">
        <v>2026</v>
      </c>
      <c r="C73" s="66" t="n">
        <v>3</v>
      </c>
      <c r="D73" s="6" t="inlineStr">
        <is>
          <t>March</t>
        </is>
      </c>
      <c r="E73" s="7" t="inlineStr">
        <is>
          <t>2026-M03</t>
        </is>
      </c>
      <c r="F73" s="66" t="n">
        <v>1</v>
      </c>
    </row>
    <row r="74">
      <c r="A74" s="7" t="inlineStr">
        <is>
          <t>2026-03-14</t>
        </is>
      </c>
      <c r="B74" s="66" t="n">
        <v>2026</v>
      </c>
      <c r="C74" s="66" t="n">
        <v>3</v>
      </c>
      <c r="D74" s="6" t="inlineStr">
        <is>
          <t>March</t>
        </is>
      </c>
      <c r="E74" s="7" t="inlineStr">
        <is>
          <t>2026-M03</t>
        </is>
      </c>
      <c r="F74" s="66" t="n">
        <v>1</v>
      </c>
    </row>
    <row r="75">
      <c r="A75" s="7" t="inlineStr">
        <is>
          <t>2026-03-15</t>
        </is>
      </c>
      <c r="B75" s="66" t="n">
        <v>2026</v>
      </c>
      <c r="C75" s="66" t="n">
        <v>3</v>
      </c>
      <c r="D75" s="6" t="inlineStr">
        <is>
          <t>March</t>
        </is>
      </c>
      <c r="E75" s="7" t="inlineStr">
        <is>
          <t>2026-M03</t>
        </is>
      </c>
      <c r="F75" s="66" t="n">
        <v>1</v>
      </c>
    </row>
    <row r="76">
      <c r="A76" s="7" t="inlineStr">
        <is>
          <t>2026-03-16</t>
        </is>
      </c>
      <c r="B76" s="66" t="n">
        <v>2026</v>
      </c>
      <c r="C76" s="66" t="n">
        <v>3</v>
      </c>
      <c r="D76" s="6" t="inlineStr">
        <is>
          <t>March</t>
        </is>
      </c>
      <c r="E76" s="7" t="inlineStr">
        <is>
          <t>2026-M03</t>
        </is>
      </c>
      <c r="F76" s="66" t="n">
        <v>1</v>
      </c>
    </row>
    <row r="77">
      <c r="A77" s="7" t="inlineStr">
        <is>
          <t>2026-03-17</t>
        </is>
      </c>
      <c r="B77" s="66" t="n">
        <v>2026</v>
      </c>
      <c r="C77" s="66" t="n">
        <v>3</v>
      </c>
      <c r="D77" s="6" t="inlineStr">
        <is>
          <t>March</t>
        </is>
      </c>
      <c r="E77" s="7" t="inlineStr">
        <is>
          <t>2026-M03</t>
        </is>
      </c>
      <c r="F77" s="66" t="n">
        <v>1</v>
      </c>
    </row>
    <row r="78">
      <c r="A78" s="7" t="inlineStr">
        <is>
          <t>2026-03-18</t>
        </is>
      </c>
      <c r="B78" s="66" t="n">
        <v>2026</v>
      </c>
      <c r="C78" s="66" t="n">
        <v>3</v>
      </c>
      <c r="D78" s="6" t="inlineStr">
        <is>
          <t>March</t>
        </is>
      </c>
      <c r="E78" s="7" t="inlineStr">
        <is>
          <t>2026-M03</t>
        </is>
      </c>
      <c r="F78" s="66" t="n">
        <v>1</v>
      </c>
    </row>
    <row r="79">
      <c r="A79" s="7" t="inlineStr">
        <is>
          <t>2026-03-19</t>
        </is>
      </c>
      <c r="B79" s="66" t="n">
        <v>2026</v>
      </c>
      <c r="C79" s="66" t="n">
        <v>3</v>
      </c>
      <c r="D79" s="6" t="inlineStr">
        <is>
          <t>March</t>
        </is>
      </c>
      <c r="E79" s="7" t="inlineStr">
        <is>
          <t>2026-M03</t>
        </is>
      </c>
      <c r="F79" s="66" t="n">
        <v>1</v>
      </c>
    </row>
    <row r="80">
      <c r="A80" s="7" t="inlineStr">
        <is>
          <t>2026-03-20</t>
        </is>
      </c>
      <c r="B80" s="66" t="n">
        <v>2026</v>
      </c>
      <c r="C80" s="66" t="n">
        <v>3</v>
      </c>
      <c r="D80" s="6" t="inlineStr">
        <is>
          <t>March</t>
        </is>
      </c>
      <c r="E80" s="7" t="inlineStr">
        <is>
          <t>2026-M03</t>
        </is>
      </c>
      <c r="F80" s="66" t="n">
        <v>1</v>
      </c>
    </row>
    <row r="81">
      <c r="A81" s="7" t="inlineStr">
        <is>
          <t>2026-03-21</t>
        </is>
      </c>
      <c r="B81" s="66" t="n">
        <v>2026</v>
      </c>
      <c r="C81" s="66" t="n">
        <v>3</v>
      </c>
      <c r="D81" s="6" t="inlineStr">
        <is>
          <t>March</t>
        </is>
      </c>
      <c r="E81" s="7" t="inlineStr">
        <is>
          <t>2026-M03</t>
        </is>
      </c>
      <c r="F81" s="66" t="n">
        <v>1</v>
      </c>
    </row>
    <row r="82">
      <c r="A82" s="7" t="inlineStr">
        <is>
          <t>2026-03-22</t>
        </is>
      </c>
      <c r="B82" s="66" t="n">
        <v>2026</v>
      </c>
      <c r="C82" s="66" t="n">
        <v>3</v>
      </c>
      <c r="D82" s="6" t="inlineStr">
        <is>
          <t>March</t>
        </is>
      </c>
      <c r="E82" s="7" t="inlineStr">
        <is>
          <t>2026-M03</t>
        </is>
      </c>
      <c r="F82" s="66" t="n">
        <v>1</v>
      </c>
    </row>
    <row r="83">
      <c r="A83" s="7" t="inlineStr">
        <is>
          <t>2026-03-23</t>
        </is>
      </c>
      <c r="B83" s="66" t="n">
        <v>2026</v>
      </c>
      <c r="C83" s="66" t="n">
        <v>3</v>
      </c>
      <c r="D83" s="6" t="inlineStr">
        <is>
          <t>March</t>
        </is>
      </c>
      <c r="E83" s="7" t="inlineStr">
        <is>
          <t>2026-M03</t>
        </is>
      </c>
      <c r="F83" s="66" t="n">
        <v>1</v>
      </c>
    </row>
    <row r="84">
      <c r="A84" s="7" t="inlineStr">
        <is>
          <t>2026-03-24</t>
        </is>
      </c>
      <c r="B84" s="66" t="n">
        <v>2026</v>
      </c>
      <c r="C84" s="66" t="n">
        <v>3</v>
      </c>
      <c r="D84" s="6" t="inlineStr">
        <is>
          <t>March</t>
        </is>
      </c>
      <c r="E84" s="7" t="inlineStr">
        <is>
          <t>2026-M03</t>
        </is>
      </c>
      <c r="F84" s="66" t="n">
        <v>1</v>
      </c>
    </row>
    <row r="85">
      <c r="A85" s="7" t="inlineStr">
        <is>
          <t>2026-03-25</t>
        </is>
      </c>
      <c r="B85" s="66" t="n">
        <v>2026</v>
      </c>
      <c r="C85" s="66" t="n">
        <v>3</v>
      </c>
      <c r="D85" s="6" t="inlineStr">
        <is>
          <t>March</t>
        </is>
      </c>
      <c r="E85" s="7" t="inlineStr">
        <is>
          <t>2026-M03</t>
        </is>
      </c>
      <c r="F85" s="66" t="n">
        <v>1</v>
      </c>
    </row>
    <row r="86">
      <c r="A86" s="7" t="inlineStr">
        <is>
          <t>2026-03-26</t>
        </is>
      </c>
      <c r="B86" s="66" t="n">
        <v>2026</v>
      </c>
      <c r="C86" s="66" t="n">
        <v>3</v>
      </c>
      <c r="D86" s="6" t="inlineStr">
        <is>
          <t>March</t>
        </is>
      </c>
      <c r="E86" s="7" t="inlineStr">
        <is>
          <t>2026-M03</t>
        </is>
      </c>
      <c r="F86" s="66" t="n">
        <v>1</v>
      </c>
    </row>
    <row r="87">
      <c r="A87" s="7" t="inlineStr">
        <is>
          <t>2026-03-27</t>
        </is>
      </c>
      <c r="B87" s="66" t="n">
        <v>2026</v>
      </c>
      <c r="C87" s="66" t="n">
        <v>3</v>
      </c>
      <c r="D87" s="6" t="inlineStr">
        <is>
          <t>March</t>
        </is>
      </c>
      <c r="E87" s="7" t="inlineStr">
        <is>
          <t>2026-M03</t>
        </is>
      </c>
      <c r="F87" s="66" t="n">
        <v>1</v>
      </c>
    </row>
    <row r="88">
      <c r="A88" s="7" t="inlineStr">
        <is>
          <t>2026-03-28</t>
        </is>
      </c>
      <c r="B88" s="66" t="n">
        <v>2026</v>
      </c>
      <c r="C88" s="66" t="n">
        <v>3</v>
      </c>
      <c r="D88" s="6" t="inlineStr">
        <is>
          <t>March</t>
        </is>
      </c>
      <c r="E88" s="7" t="inlineStr">
        <is>
          <t>2026-M03</t>
        </is>
      </c>
      <c r="F88" s="66" t="n">
        <v>1</v>
      </c>
    </row>
    <row r="89">
      <c r="A89" s="7" t="inlineStr">
        <is>
          <t>2026-03-29</t>
        </is>
      </c>
      <c r="B89" s="66" t="n">
        <v>2026</v>
      </c>
      <c r="C89" s="66" t="n">
        <v>3</v>
      </c>
      <c r="D89" s="6" t="inlineStr">
        <is>
          <t>March</t>
        </is>
      </c>
      <c r="E89" s="7" t="inlineStr">
        <is>
          <t>2026-M03</t>
        </is>
      </c>
      <c r="F89" s="66" t="n">
        <v>1</v>
      </c>
    </row>
    <row r="90">
      <c r="A90" s="7" t="inlineStr">
        <is>
          <t>2026-03-30</t>
        </is>
      </c>
      <c r="B90" s="66" t="n">
        <v>2026</v>
      </c>
      <c r="C90" s="66" t="n">
        <v>3</v>
      </c>
      <c r="D90" s="6" t="inlineStr">
        <is>
          <t>March</t>
        </is>
      </c>
      <c r="E90" s="7" t="inlineStr">
        <is>
          <t>2026-M03</t>
        </is>
      </c>
      <c r="F90" s="66" t="n">
        <v>1</v>
      </c>
    </row>
    <row r="91">
      <c r="A91" s="7" t="inlineStr">
        <is>
          <t>2026-03-31</t>
        </is>
      </c>
      <c r="B91" s="66" t="n">
        <v>2026</v>
      </c>
      <c r="C91" s="66" t="n">
        <v>3</v>
      </c>
      <c r="D91" s="6" t="inlineStr">
        <is>
          <t>March</t>
        </is>
      </c>
      <c r="E91" s="7" t="inlineStr">
        <is>
          <t>2026-M03</t>
        </is>
      </c>
      <c r="F91" s="66" t="n">
        <v>1</v>
      </c>
    </row>
    <row r="92">
      <c r="A92" s="7" t="inlineStr">
        <is>
          <t>2026-04-01</t>
        </is>
      </c>
      <c r="B92" s="66" t="n">
        <v>2026</v>
      </c>
      <c r="C92" s="66" t="n">
        <v>4</v>
      </c>
      <c r="D92" s="6" t="inlineStr">
        <is>
          <t>April</t>
        </is>
      </c>
      <c r="E92" s="7" t="inlineStr">
        <is>
          <t>2026-M04</t>
        </is>
      </c>
      <c r="F92" s="66" t="n">
        <v>2</v>
      </c>
    </row>
    <row r="93">
      <c r="A93" s="7" t="inlineStr">
        <is>
          <t>2026-04-02</t>
        </is>
      </c>
      <c r="B93" s="66" t="n">
        <v>2026</v>
      </c>
      <c r="C93" s="66" t="n">
        <v>4</v>
      </c>
      <c r="D93" s="6" t="inlineStr">
        <is>
          <t>April</t>
        </is>
      </c>
      <c r="E93" s="7" t="inlineStr">
        <is>
          <t>2026-M04</t>
        </is>
      </c>
      <c r="F93" s="66" t="n">
        <v>2</v>
      </c>
    </row>
    <row r="94">
      <c r="A94" s="7" t="inlineStr">
        <is>
          <t>2026-04-03</t>
        </is>
      </c>
      <c r="B94" s="66" t="n">
        <v>2026</v>
      </c>
      <c r="C94" s="66" t="n">
        <v>4</v>
      </c>
      <c r="D94" s="6" t="inlineStr">
        <is>
          <t>April</t>
        </is>
      </c>
      <c r="E94" s="7" t="inlineStr">
        <is>
          <t>2026-M04</t>
        </is>
      </c>
      <c r="F94" s="66" t="n">
        <v>2</v>
      </c>
    </row>
    <row r="95">
      <c r="A95" s="7" t="inlineStr">
        <is>
          <t>2026-04-04</t>
        </is>
      </c>
      <c r="B95" s="66" t="n">
        <v>2026</v>
      </c>
      <c r="C95" s="66" t="n">
        <v>4</v>
      </c>
      <c r="D95" s="6" t="inlineStr">
        <is>
          <t>April</t>
        </is>
      </c>
      <c r="E95" s="7" t="inlineStr">
        <is>
          <t>2026-M04</t>
        </is>
      </c>
      <c r="F95" s="66" t="n">
        <v>2</v>
      </c>
    </row>
    <row r="96">
      <c r="A96" s="7" t="inlineStr">
        <is>
          <t>2026-04-05</t>
        </is>
      </c>
      <c r="B96" s="66" t="n">
        <v>2026</v>
      </c>
      <c r="C96" s="66" t="n">
        <v>4</v>
      </c>
      <c r="D96" s="6" t="inlineStr">
        <is>
          <t>April</t>
        </is>
      </c>
      <c r="E96" s="7" t="inlineStr">
        <is>
          <t>2026-M04</t>
        </is>
      </c>
      <c r="F96" s="66" t="n">
        <v>2</v>
      </c>
    </row>
    <row r="97">
      <c r="A97" s="7" t="inlineStr">
        <is>
          <t>2026-04-06</t>
        </is>
      </c>
      <c r="B97" s="66" t="n">
        <v>2026</v>
      </c>
      <c r="C97" s="66" t="n">
        <v>4</v>
      </c>
      <c r="D97" s="6" t="inlineStr">
        <is>
          <t>April</t>
        </is>
      </c>
      <c r="E97" s="7" t="inlineStr">
        <is>
          <t>2026-M04</t>
        </is>
      </c>
      <c r="F97" s="66" t="n">
        <v>2</v>
      </c>
    </row>
    <row r="98">
      <c r="A98" s="7" t="inlineStr">
        <is>
          <t>2026-04-07</t>
        </is>
      </c>
      <c r="B98" s="66" t="n">
        <v>2026</v>
      </c>
      <c r="C98" s="66" t="n">
        <v>4</v>
      </c>
      <c r="D98" s="6" t="inlineStr">
        <is>
          <t>April</t>
        </is>
      </c>
      <c r="E98" s="7" t="inlineStr">
        <is>
          <t>2026-M04</t>
        </is>
      </c>
      <c r="F98" s="66" t="n">
        <v>2</v>
      </c>
    </row>
    <row r="99">
      <c r="A99" s="7" t="inlineStr">
        <is>
          <t>2026-04-08</t>
        </is>
      </c>
      <c r="B99" s="66" t="n">
        <v>2026</v>
      </c>
      <c r="C99" s="66" t="n">
        <v>4</v>
      </c>
      <c r="D99" s="6" t="inlineStr">
        <is>
          <t>April</t>
        </is>
      </c>
      <c r="E99" s="7" t="inlineStr">
        <is>
          <t>2026-M04</t>
        </is>
      </c>
      <c r="F99" s="66" t="n">
        <v>2</v>
      </c>
    </row>
    <row r="100">
      <c r="A100" s="7" t="inlineStr">
        <is>
          <t>2026-04-09</t>
        </is>
      </c>
      <c r="B100" s="66" t="n">
        <v>2026</v>
      </c>
      <c r="C100" s="66" t="n">
        <v>4</v>
      </c>
      <c r="D100" s="6" t="inlineStr">
        <is>
          <t>April</t>
        </is>
      </c>
      <c r="E100" s="7" t="inlineStr">
        <is>
          <t>2026-M04</t>
        </is>
      </c>
      <c r="F100" s="66" t="n">
        <v>2</v>
      </c>
    </row>
    <row r="101">
      <c r="A101" s="7" t="inlineStr">
        <is>
          <t>2026-04-10</t>
        </is>
      </c>
      <c r="B101" s="66" t="n">
        <v>2026</v>
      </c>
      <c r="C101" s="66" t="n">
        <v>4</v>
      </c>
      <c r="D101" s="6" t="inlineStr">
        <is>
          <t>April</t>
        </is>
      </c>
      <c r="E101" s="7" t="inlineStr">
        <is>
          <t>2026-M04</t>
        </is>
      </c>
      <c r="F101" s="66" t="n">
        <v>2</v>
      </c>
    </row>
    <row r="102">
      <c r="A102" s="7" t="inlineStr">
        <is>
          <t>2026-04-11</t>
        </is>
      </c>
      <c r="B102" s="66" t="n">
        <v>2026</v>
      </c>
      <c r="C102" s="66" t="n">
        <v>4</v>
      </c>
      <c r="D102" s="6" t="inlineStr">
        <is>
          <t>April</t>
        </is>
      </c>
      <c r="E102" s="7" t="inlineStr">
        <is>
          <t>2026-M04</t>
        </is>
      </c>
      <c r="F102" s="66" t="n">
        <v>2</v>
      </c>
    </row>
    <row r="103">
      <c r="A103" s="7" t="inlineStr">
        <is>
          <t>2026-04-12</t>
        </is>
      </c>
      <c r="B103" s="66" t="n">
        <v>2026</v>
      </c>
      <c r="C103" s="66" t="n">
        <v>4</v>
      </c>
      <c r="D103" s="6" t="inlineStr">
        <is>
          <t>April</t>
        </is>
      </c>
      <c r="E103" s="7" t="inlineStr">
        <is>
          <t>2026-M04</t>
        </is>
      </c>
      <c r="F103" s="66" t="n">
        <v>2</v>
      </c>
    </row>
    <row r="104">
      <c r="A104" s="7" t="inlineStr">
        <is>
          <t>2026-04-13</t>
        </is>
      </c>
      <c r="B104" s="66" t="n">
        <v>2026</v>
      </c>
      <c r="C104" s="66" t="n">
        <v>4</v>
      </c>
      <c r="D104" s="6" t="inlineStr">
        <is>
          <t>April</t>
        </is>
      </c>
      <c r="E104" s="7" t="inlineStr">
        <is>
          <t>2026-M04</t>
        </is>
      </c>
      <c r="F104" s="66" t="n">
        <v>2</v>
      </c>
    </row>
    <row r="105">
      <c r="A105" s="7" t="inlineStr">
        <is>
          <t>2026-04-14</t>
        </is>
      </c>
      <c r="B105" s="66" t="n">
        <v>2026</v>
      </c>
      <c r="C105" s="66" t="n">
        <v>4</v>
      </c>
      <c r="D105" s="6" t="inlineStr">
        <is>
          <t>April</t>
        </is>
      </c>
      <c r="E105" s="7" t="inlineStr">
        <is>
          <t>2026-M04</t>
        </is>
      </c>
      <c r="F105" s="66" t="n">
        <v>2</v>
      </c>
    </row>
    <row r="106">
      <c r="A106" s="7" t="inlineStr">
        <is>
          <t>2026-04-15</t>
        </is>
      </c>
      <c r="B106" s="66" t="n">
        <v>2026</v>
      </c>
      <c r="C106" s="66" t="n">
        <v>4</v>
      </c>
      <c r="D106" s="6" t="inlineStr">
        <is>
          <t>April</t>
        </is>
      </c>
      <c r="E106" s="7" t="inlineStr">
        <is>
          <t>2026-M04</t>
        </is>
      </c>
      <c r="F106" s="66" t="n">
        <v>2</v>
      </c>
    </row>
    <row r="107">
      <c r="A107" s="7" t="inlineStr">
        <is>
          <t>2026-04-16</t>
        </is>
      </c>
      <c r="B107" s="66" t="n">
        <v>2026</v>
      </c>
      <c r="C107" s="66" t="n">
        <v>4</v>
      </c>
      <c r="D107" s="6" t="inlineStr">
        <is>
          <t>April</t>
        </is>
      </c>
      <c r="E107" s="7" t="inlineStr">
        <is>
          <t>2026-M04</t>
        </is>
      </c>
      <c r="F107" s="66" t="n">
        <v>2</v>
      </c>
    </row>
    <row r="108">
      <c r="A108" s="7" t="inlineStr">
        <is>
          <t>2026-04-17</t>
        </is>
      </c>
      <c r="B108" s="66" t="n">
        <v>2026</v>
      </c>
      <c r="C108" s="66" t="n">
        <v>4</v>
      </c>
      <c r="D108" s="6" t="inlineStr">
        <is>
          <t>April</t>
        </is>
      </c>
      <c r="E108" s="7" t="inlineStr">
        <is>
          <t>2026-M04</t>
        </is>
      </c>
      <c r="F108" s="66" t="n">
        <v>2</v>
      </c>
    </row>
    <row r="109">
      <c r="A109" s="7" t="inlineStr">
        <is>
          <t>2026-04-18</t>
        </is>
      </c>
      <c r="B109" s="66" t="n">
        <v>2026</v>
      </c>
      <c r="C109" s="66" t="n">
        <v>4</v>
      </c>
      <c r="D109" s="6" t="inlineStr">
        <is>
          <t>April</t>
        </is>
      </c>
      <c r="E109" s="7" t="inlineStr">
        <is>
          <t>2026-M04</t>
        </is>
      </c>
      <c r="F109" s="66" t="n">
        <v>2</v>
      </c>
    </row>
    <row r="110">
      <c r="A110" s="7" t="inlineStr">
        <is>
          <t>2026-04-19</t>
        </is>
      </c>
      <c r="B110" s="66" t="n">
        <v>2026</v>
      </c>
      <c r="C110" s="66" t="n">
        <v>4</v>
      </c>
      <c r="D110" s="6" t="inlineStr">
        <is>
          <t>April</t>
        </is>
      </c>
      <c r="E110" s="7" t="inlineStr">
        <is>
          <t>2026-M04</t>
        </is>
      </c>
      <c r="F110" s="66" t="n">
        <v>2</v>
      </c>
    </row>
    <row r="111">
      <c r="A111" s="7" t="inlineStr">
        <is>
          <t>2026-04-20</t>
        </is>
      </c>
      <c r="B111" s="66" t="n">
        <v>2026</v>
      </c>
      <c r="C111" s="66" t="n">
        <v>4</v>
      </c>
      <c r="D111" s="6" t="inlineStr">
        <is>
          <t>April</t>
        </is>
      </c>
      <c r="E111" s="7" t="inlineStr">
        <is>
          <t>2026-M04</t>
        </is>
      </c>
      <c r="F111" s="66" t="n">
        <v>2</v>
      </c>
    </row>
    <row r="112">
      <c r="A112" s="7" t="inlineStr">
        <is>
          <t>2026-04-21</t>
        </is>
      </c>
      <c r="B112" s="66" t="n">
        <v>2026</v>
      </c>
      <c r="C112" s="66" t="n">
        <v>4</v>
      </c>
      <c r="D112" s="6" t="inlineStr">
        <is>
          <t>April</t>
        </is>
      </c>
      <c r="E112" s="7" t="inlineStr">
        <is>
          <t>2026-M04</t>
        </is>
      </c>
      <c r="F112" s="66" t="n">
        <v>2</v>
      </c>
    </row>
    <row r="113">
      <c r="A113" s="7" t="inlineStr">
        <is>
          <t>2026-04-22</t>
        </is>
      </c>
      <c r="B113" s="66" t="n">
        <v>2026</v>
      </c>
      <c r="C113" s="66" t="n">
        <v>4</v>
      </c>
      <c r="D113" s="6" t="inlineStr">
        <is>
          <t>April</t>
        </is>
      </c>
      <c r="E113" s="7" t="inlineStr">
        <is>
          <t>2026-M04</t>
        </is>
      </c>
      <c r="F113" s="66" t="n">
        <v>2</v>
      </c>
    </row>
    <row r="114">
      <c r="A114" s="7" t="inlineStr">
        <is>
          <t>2026-04-23</t>
        </is>
      </c>
      <c r="B114" s="66" t="n">
        <v>2026</v>
      </c>
      <c r="C114" s="66" t="n">
        <v>4</v>
      </c>
      <c r="D114" s="6" t="inlineStr">
        <is>
          <t>April</t>
        </is>
      </c>
      <c r="E114" s="7" t="inlineStr">
        <is>
          <t>2026-M04</t>
        </is>
      </c>
      <c r="F114" s="66" t="n">
        <v>2</v>
      </c>
    </row>
    <row r="115">
      <c r="A115" s="7" t="inlineStr">
        <is>
          <t>2026-04-24</t>
        </is>
      </c>
      <c r="B115" s="66" t="n">
        <v>2026</v>
      </c>
      <c r="C115" s="66" t="n">
        <v>4</v>
      </c>
      <c r="D115" s="6" t="inlineStr">
        <is>
          <t>April</t>
        </is>
      </c>
      <c r="E115" s="7" t="inlineStr">
        <is>
          <t>2026-M04</t>
        </is>
      </c>
      <c r="F115" s="66" t="n">
        <v>2</v>
      </c>
    </row>
    <row r="116">
      <c r="A116" s="7" t="inlineStr">
        <is>
          <t>2026-04-25</t>
        </is>
      </c>
      <c r="B116" s="66" t="n">
        <v>2026</v>
      </c>
      <c r="C116" s="66" t="n">
        <v>4</v>
      </c>
      <c r="D116" s="6" t="inlineStr">
        <is>
          <t>April</t>
        </is>
      </c>
      <c r="E116" s="7" t="inlineStr">
        <is>
          <t>2026-M04</t>
        </is>
      </c>
      <c r="F116" s="66" t="n">
        <v>2</v>
      </c>
    </row>
    <row r="117">
      <c r="A117" s="7" t="inlineStr">
        <is>
          <t>2026-04-26</t>
        </is>
      </c>
      <c r="B117" s="66" t="n">
        <v>2026</v>
      </c>
      <c r="C117" s="66" t="n">
        <v>4</v>
      </c>
      <c r="D117" s="6" t="inlineStr">
        <is>
          <t>April</t>
        </is>
      </c>
      <c r="E117" s="7" t="inlineStr">
        <is>
          <t>2026-M04</t>
        </is>
      </c>
      <c r="F117" s="66" t="n">
        <v>2</v>
      </c>
    </row>
    <row r="118">
      <c r="A118" s="7" t="inlineStr">
        <is>
          <t>2026-04-27</t>
        </is>
      </c>
      <c r="B118" s="66" t="n">
        <v>2026</v>
      </c>
      <c r="C118" s="66" t="n">
        <v>4</v>
      </c>
      <c r="D118" s="6" t="inlineStr">
        <is>
          <t>April</t>
        </is>
      </c>
      <c r="E118" s="7" t="inlineStr">
        <is>
          <t>2026-M04</t>
        </is>
      </c>
      <c r="F118" s="66" t="n">
        <v>2</v>
      </c>
    </row>
    <row r="119">
      <c r="A119" s="7" t="inlineStr">
        <is>
          <t>2026-04-28</t>
        </is>
      </c>
      <c r="B119" s="66" t="n">
        <v>2026</v>
      </c>
      <c r="C119" s="66" t="n">
        <v>4</v>
      </c>
      <c r="D119" s="6" t="inlineStr">
        <is>
          <t>April</t>
        </is>
      </c>
      <c r="E119" s="7" t="inlineStr">
        <is>
          <t>2026-M04</t>
        </is>
      </c>
      <c r="F119" s="66" t="n">
        <v>2</v>
      </c>
    </row>
    <row r="120">
      <c r="A120" s="7" t="inlineStr">
        <is>
          <t>2026-04-29</t>
        </is>
      </c>
      <c r="B120" s="66" t="n">
        <v>2026</v>
      </c>
      <c r="C120" s="66" t="n">
        <v>4</v>
      </c>
      <c r="D120" s="6" t="inlineStr">
        <is>
          <t>April</t>
        </is>
      </c>
      <c r="E120" s="7" t="inlineStr">
        <is>
          <t>2026-M04</t>
        </is>
      </c>
      <c r="F120" s="66" t="n">
        <v>2</v>
      </c>
    </row>
    <row r="121">
      <c r="A121" s="7" t="inlineStr">
        <is>
          <t>2026-04-30</t>
        </is>
      </c>
      <c r="B121" s="66" t="n">
        <v>2026</v>
      </c>
      <c r="C121" s="66" t="n">
        <v>4</v>
      </c>
      <c r="D121" s="6" t="inlineStr">
        <is>
          <t>April</t>
        </is>
      </c>
      <c r="E121" s="7" t="inlineStr">
        <is>
          <t>2026-M04</t>
        </is>
      </c>
      <c r="F121" s="66" t="n">
        <v>2</v>
      </c>
    </row>
    <row r="122">
      <c r="A122" s="7" t="inlineStr">
        <is>
          <t>2026-05-01</t>
        </is>
      </c>
      <c r="B122" s="66" t="n">
        <v>2026</v>
      </c>
      <c r="C122" s="66" t="n">
        <v>5</v>
      </c>
      <c r="D122" s="6" t="inlineStr">
        <is>
          <t>May</t>
        </is>
      </c>
      <c r="E122" s="7" t="inlineStr">
        <is>
          <t>2026-M05</t>
        </is>
      </c>
      <c r="F122" s="66" t="n">
        <v>2</v>
      </c>
    </row>
    <row r="123">
      <c r="A123" s="7" t="inlineStr">
        <is>
          <t>2026-05-02</t>
        </is>
      </c>
      <c r="B123" s="66" t="n">
        <v>2026</v>
      </c>
      <c r="C123" s="66" t="n">
        <v>5</v>
      </c>
      <c r="D123" s="6" t="inlineStr">
        <is>
          <t>May</t>
        </is>
      </c>
      <c r="E123" s="7" t="inlineStr">
        <is>
          <t>2026-M05</t>
        </is>
      </c>
      <c r="F123" s="66" t="n">
        <v>2</v>
      </c>
    </row>
    <row r="124">
      <c r="A124" s="7" t="inlineStr">
        <is>
          <t>2026-05-03</t>
        </is>
      </c>
      <c r="B124" s="66" t="n">
        <v>2026</v>
      </c>
      <c r="C124" s="66" t="n">
        <v>5</v>
      </c>
      <c r="D124" s="6" t="inlineStr">
        <is>
          <t>May</t>
        </is>
      </c>
      <c r="E124" s="7" t="inlineStr">
        <is>
          <t>2026-M05</t>
        </is>
      </c>
      <c r="F124" s="66" t="n">
        <v>2</v>
      </c>
    </row>
    <row r="125">
      <c r="A125" s="7" t="inlineStr">
        <is>
          <t>2026-05-04</t>
        </is>
      </c>
      <c r="B125" s="66" t="n">
        <v>2026</v>
      </c>
      <c r="C125" s="66" t="n">
        <v>5</v>
      </c>
      <c r="D125" s="6" t="inlineStr">
        <is>
          <t>May</t>
        </is>
      </c>
      <c r="E125" s="7" t="inlineStr">
        <is>
          <t>2026-M05</t>
        </is>
      </c>
      <c r="F125" s="66" t="n">
        <v>2</v>
      </c>
    </row>
    <row r="126">
      <c r="A126" s="7" t="inlineStr">
        <is>
          <t>2026-05-05</t>
        </is>
      </c>
      <c r="B126" s="66" t="n">
        <v>2026</v>
      </c>
      <c r="C126" s="66" t="n">
        <v>5</v>
      </c>
      <c r="D126" s="6" t="inlineStr">
        <is>
          <t>May</t>
        </is>
      </c>
      <c r="E126" s="7" t="inlineStr">
        <is>
          <t>2026-M05</t>
        </is>
      </c>
      <c r="F126" s="66" t="n">
        <v>2</v>
      </c>
    </row>
    <row r="127">
      <c r="A127" s="7" t="inlineStr">
        <is>
          <t>2026-05-06</t>
        </is>
      </c>
      <c r="B127" s="66" t="n">
        <v>2026</v>
      </c>
      <c r="C127" s="66" t="n">
        <v>5</v>
      </c>
      <c r="D127" s="6" t="inlineStr">
        <is>
          <t>May</t>
        </is>
      </c>
      <c r="E127" s="7" t="inlineStr">
        <is>
          <t>2026-M05</t>
        </is>
      </c>
      <c r="F127" s="66" t="n">
        <v>2</v>
      </c>
    </row>
    <row r="128">
      <c r="A128" s="7" t="inlineStr">
        <is>
          <t>2026-05-07</t>
        </is>
      </c>
      <c r="B128" s="66" t="n">
        <v>2026</v>
      </c>
      <c r="C128" s="66" t="n">
        <v>5</v>
      </c>
      <c r="D128" s="6" t="inlineStr">
        <is>
          <t>May</t>
        </is>
      </c>
      <c r="E128" s="7" t="inlineStr">
        <is>
          <t>2026-M05</t>
        </is>
      </c>
      <c r="F128" s="66" t="n">
        <v>2</v>
      </c>
    </row>
    <row r="129">
      <c r="A129" s="7" t="inlineStr">
        <is>
          <t>2026-05-08</t>
        </is>
      </c>
      <c r="B129" s="66" t="n">
        <v>2026</v>
      </c>
      <c r="C129" s="66" t="n">
        <v>5</v>
      </c>
      <c r="D129" s="6" t="inlineStr">
        <is>
          <t>May</t>
        </is>
      </c>
      <c r="E129" s="7" t="inlineStr">
        <is>
          <t>2026-M05</t>
        </is>
      </c>
      <c r="F129" s="66" t="n">
        <v>2</v>
      </c>
    </row>
    <row r="130">
      <c r="A130" s="7" t="inlineStr">
        <is>
          <t>2026-05-09</t>
        </is>
      </c>
      <c r="B130" s="66" t="n">
        <v>2026</v>
      </c>
      <c r="C130" s="66" t="n">
        <v>5</v>
      </c>
      <c r="D130" s="6" t="inlineStr">
        <is>
          <t>May</t>
        </is>
      </c>
      <c r="E130" s="7" t="inlineStr">
        <is>
          <t>2026-M05</t>
        </is>
      </c>
      <c r="F130" s="66" t="n">
        <v>2</v>
      </c>
    </row>
    <row r="131">
      <c r="A131" s="7" t="inlineStr">
        <is>
          <t>2026-05-10</t>
        </is>
      </c>
      <c r="B131" s="66" t="n">
        <v>2026</v>
      </c>
      <c r="C131" s="66" t="n">
        <v>5</v>
      </c>
      <c r="D131" s="6" t="inlineStr">
        <is>
          <t>May</t>
        </is>
      </c>
      <c r="E131" s="7" t="inlineStr">
        <is>
          <t>2026-M05</t>
        </is>
      </c>
      <c r="F131" s="66" t="n">
        <v>2</v>
      </c>
    </row>
    <row r="132">
      <c r="A132" s="7" t="inlineStr">
        <is>
          <t>2026-05-11</t>
        </is>
      </c>
      <c r="B132" s="66" t="n">
        <v>2026</v>
      </c>
      <c r="C132" s="66" t="n">
        <v>5</v>
      </c>
      <c r="D132" s="6" t="inlineStr">
        <is>
          <t>May</t>
        </is>
      </c>
      <c r="E132" s="7" t="inlineStr">
        <is>
          <t>2026-M05</t>
        </is>
      </c>
      <c r="F132" s="66" t="n">
        <v>2</v>
      </c>
    </row>
    <row r="133">
      <c r="A133" s="7" t="inlineStr">
        <is>
          <t>2026-05-12</t>
        </is>
      </c>
      <c r="B133" s="66" t="n">
        <v>2026</v>
      </c>
      <c r="C133" s="66" t="n">
        <v>5</v>
      </c>
      <c r="D133" s="6" t="inlineStr">
        <is>
          <t>May</t>
        </is>
      </c>
      <c r="E133" s="7" t="inlineStr">
        <is>
          <t>2026-M05</t>
        </is>
      </c>
      <c r="F133" s="66" t="n">
        <v>2</v>
      </c>
    </row>
    <row r="134">
      <c r="A134" s="7" t="inlineStr">
        <is>
          <t>2026-05-13</t>
        </is>
      </c>
      <c r="B134" s="66" t="n">
        <v>2026</v>
      </c>
      <c r="C134" s="66" t="n">
        <v>5</v>
      </c>
      <c r="D134" s="6" t="inlineStr">
        <is>
          <t>May</t>
        </is>
      </c>
      <c r="E134" s="7" t="inlineStr">
        <is>
          <t>2026-M05</t>
        </is>
      </c>
      <c r="F134" s="66" t="n">
        <v>2</v>
      </c>
    </row>
    <row r="135">
      <c r="A135" s="7" t="inlineStr">
        <is>
          <t>2026-05-14</t>
        </is>
      </c>
      <c r="B135" s="66" t="n">
        <v>2026</v>
      </c>
      <c r="C135" s="66" t="n">
        <v>5</v>
      </c>
      <c r="D135" s="6" t="inlineStr">
        <is>
          <t>May</t>
        </is>
      </c>
      <c r="E135" s="7" t="inlineStr">
        <is>
          <t>2026-M05</t>
        </is>
      </c>
      <c r="F135" s="66" t="n">
        <v>2</v>
      </c>
    </row>
    <row r="136">
      <c r="A136" s="7" t="inlineStr">
        <is>
          <t>2026-05-15</t>
        </is>
      </c>
      <c r="B136" s="66" t="n">
        <v>2026</v>
      </c>
      <c r="C136" s="66" t="n">
        <v>5</v>
      </c>
      <c r="D136" s="6" t="inlineStr">
        <is>
          <t>May</t>
        </is>
      </c>
      <c r="E136" s="7" t="inlineStr">
        <is>
          <t>2026-M05</t>
        </is>
      </c>
      <c r="F136" s="66" t="n">
        <v>2</v>
      </c>
    </row>
    <row r="137">
      <c r="A137" s="7" t="inlineStr">
        <is>
          <t>2026-05-16</t>
        </is>
      </c>
      <c r="B137" s="66" t="n">
        <v>2026</v>
      </c>
      <c r="C137" s="66" t="n">
        <v>5</v>
      </c>
      <c r="D137" s="6" t="inlineStr">
        <is>
          <t>May</t>
        </is>
      </c>
      <c r="E137" s="7" t="inlineStr">
        <is>
          <t>2026-M05</t>
        </is>
      </c>
      <c r="F137" s="66" t="n">
        <v>2</v>
      </c>
    </row>
    <row r="138">
      <c r="A138" s="7" t="inlineStr">
        <is>
          <t>2026-05-17</t>
        </is>
      </c>
      <c r="B138" s="66" t="n">
        <v>2026</v>
      </c>
      <c r="C138" s="66" t="n">
        <v>5</v>
      </c>
      <c r="D138" s="6" t="inlineStr">
        <is>
          <t>May</t>
        </is>
      </c>
      <c r="E138" s="7" t="inlineStr">
        <is>
          <t>2026-M05</t>
        </is>
      </c>
      <c r="F138" s="66" t="n">
        <v>2</v>
      </c>
    </row>
    <row r="139">
      <c r="A139" s="7" t="inlineStr">
        <is>
          <t>2026-05-18</t>
        </is>
      </c>
      <c r="B139" s="66" t="n">
        <v>2026</v>
      </c>
      <c r="C139" s="66" t="n">
        <v>5</v>
      </c>
      <c r="D139" s="6" t="inlineStr">
        <is>
          <t>May</t>
        </is>
      </c>
      <c r="E139" s="7" t="inlineStr">
        <is>
          <t>2026-M05</t>
        </is>
      </c>
      <c r="F139" s="66" t="n">
        <v>2</v>
      </c>
    </row>
    <row r="140">
      <c r="A140" s="7" t="inlineStr">
        <is>
          <t>2026-05-19</t>
        </is>
      </c>
      <c r="B140" s="66" t="n">
        <v>2026</v>
      </c>
      <c r="C140" s="66" t="n">
        <v>5</v>
      </c>
      <c r="D140" s="6" t="inlineStr">
        <is>
          <t>May</t>
        </is>
      </c>
      <c r="E140" s="7" t="inlineStr">
        <is>
          <t>2026-M05</t>
        </is>
      </c>
      <c r="F140" s="66" t="n">
        <v>2</v>
      </c>
    </row>
    <row r="141">
      <c r="A141" s="7" t="inlineStr">
        <is>
          <t>2026-05-20</t>
        </is>
      </c>
      <c r="B141" s="66" t="n">
        <v>2026</v>
      </c>
      <c r="C141" s="66" t="n">
        <v>5</v>
      </c>
      <c r="D141" s="6" t="inlineStr">
        <is>
          <t>May</t>
        </is>
      </c>
      <c r="E141" s="7" t="inlineStr">
        <is>
          <t>2026-M05</t>
        </is>
      </c>
      <c r="F141" s="66" t="n">
        <v>2</v>
      </c>
    </row>
    <row r="142">
      <c r="A142" s="7" t="inlineStr">
        <is>
          <t>2026-05-21</t>
        </is>
      </c>
      <c r="B142" s="66" t="n">
        <v>2026</v>
      </c>
      <c r="C142" s="66" t="n">
        <v>5</v>
      </c>
      <c r="D142" s="6" t="inlineStr">
        <is>
          <t>May</t>
        </is>
      </c>
      <c r="E142" s="7" t="inlineStr">
        <is>
          <t>2026-M05</t>
        </is>
      </c>
      <c r="F142" s="66" t="n">
        <v>2</v>
      </c>
    </row>
    <row r="143">
      <c r="A143" s="7" t="inlineStr">
        <is>
          <t>2026-05-22</t>
        </is>
      </c>
      <c r="B143" s="66" t="n">
        <v>2026</v>
      </c>
      <c r="C143" s="66" t="n">
        <v>5</v>
      </c>
      <c r="D143" s="6" t="inlineStr">
        <is>
          <t>May</t>
        </is>
      </c>
      <c r="E143" s="7" t="inlineStr">
        <is>
          <t>2026-M05</t>
        </is>
      </c>
      <c r="F143" s="66" t="n">
        <v>2</v>
      </c>
    </row>
    <row r="144">
      <c r="A144" s="7" t="inlineStr">
        <is>
          <t>2026-05-23</t>
        </is>
      </c>
      <c r="B144" s="66" t="n">
        <v>2026</v>
      </c>
      <c r="C144" s="66" t="n">
        <v>5</v>
      </c>
      <c r="D144" s="6" t="inlineStr">
        <is>
          <t>May</t>
        </is>
      </c>
      <c r="E144" s="7" t="inlineStr">
        <is>
          <t>2026-M05</t>
        </is>
      </c>
      <c r="F144" s="66" t="n">
        <v>2</v>
      </c>
    </row>
    <row r="145">
      <c r="A145" s="7" t="inlineStr">
        <is>
          <t>2026-05-24</t>
        </is>
      </c>
      <c r="B145" s="66" t="n">
        <v>2026</v>
      </c>
      <c r="C145" s="66" t="n">
        <v>5</v>
      </c>
      <c r="D145" s="6" t="inlineStr">
        <is>
          <t>May</t>
        </is>
      </c>
      <c r="E145" s="7" t="inlineStr">
        <is>
          <t>2026-M05</t>
        </is>
      </c>
      <c r="F145" s="66" t="n">
        <v>2</v>
      </c>
    </row>
    <row r="146">
      <c r="A146" s="7" t="inlineStr">
        <is>
          <t>2026-05-25</t>
        </is>
      </c>
      <c r="B146" s="66" t="n">
        <v>2026</v>
      </c>
      <c r="C146" s="66" t="n">
        <v>5</v>
      </c>
      <c r="D146" s="6" t="inlineStr">
        <is>
          <t>May</t>
        </is>
      </c>
      <c r="E146" s="7" t="inlineStr">
        <is>
          <t>2026-M05</t>
        </is>
      </c>
      <c r="F146" s="66" t="n">
        <v>2</v>
      </c>
    </row>
    <row r="147">
      <c r="A147" s="7" t="inlineStr">
        <is>
          <t>2026-05-26</t>
        </is>
      </c>
      <c r="B147" s="66" t="n">
        <v>2026</v>
      </c>
      <c r="C147" s="66" t="n">
        <v>5</v>
      </c>
      <c r="D147" s="6" t="inlineStr">
        <is>
          <t>May</t>
        </is>
      </c>
      <c r="E147" s="7" t="inlineStr">
        <is>
          <t>2026-M05</t>
        </is>
      </c>
      <c r="F147" s="66" t="n">
        <v>2</v>
      </c>
    </row>
    <row r="148">
      <c r="A148" s="7" t="inlineStr">
        <is>
          <t>2026-05-27</t>
        </is>
      </c>
      <c r="B148" s="66" t="n">
        <v>2026</v>
      </c>
      <c r="C148" s="66" t="n">
        <v>5</v>
      </c>
      <c r="D148" s="6" t="inlineStr">
        <is>
          <t>May</t>
        </is>
      </c>
      <c r="E148" s="7" t="inlineStr">
        <is>
          <t>2026-M05</t>
        </is>
      </c>
      <c r="F148" s="66" t="n">
        <v>2</v>
      </c>
    </row>
    <row r="149">
      <c r="A149" s="7" t="inlineStr">
        <is>
          <t>2026-05-28</t>
        </is>
      </c>
      <c r="B149" s="66" t="n">
        <v>2026</v>
      </c>
      <c r="C149" s="66" t="n">
        <v>5</v>
      </c>
      <c r="D149" s="6" t="inlineStr">
        <is>
          <t>May</t>
        </is>
      </c>
      <c r="E149" s="7" t="inlineStr">
        <is>
          <t>2026-M05</t>
        </is>
      </c>
      <c r="F149" s="66" t="n">
        <v>2</v>
      </c>
    </row>
    <row r="150">
      <c r="A150" s="7" t="inlineStr">
        <is>
          <t>2026-05-29</t>
        </is>
      </c>
      <c r="B150" s="66" t="n">
        <v>2026</v>
      </c>
      <c r="C150" s="66" t="n">
        <v>5</v>
      </c>
      <c r="D150" s="6" t="inlineStr">
        <is>
          <t>May</t>
        </is>
      </c>
      <c r="E150" s="7" t="inlineStr">
        <is>
          <t>2026-M05</t>
        </is>
      </c>
      <c r="F150" s="66" t="n">
        <v>2</v>
      </c>
    </row>
    <row r="151">
      <c r="A151" s="7" t="inlineStr">
        <is>
          <t>2026-05-30</t>
        </is>
      </c>
      <c r="B151" s="66" t="n">
        <v>2026</v>
      </c>
      <c r="C151" s="66" t="n">
        <v>5</v>
      </c>
      <c r="D151" s="6" t="inlineStr">
        <is>
          <t>May</t>
        </is>
      </c>
      <c r="E151" s="7" t="inlineStr">
        <is>
          <t>2026-M05</t>
        </is>
      </c>
      <c r="F151" s="66" t="n">
        <v>2</v>
      </c>
    </row>
    <row r="152">
      <c r="A152" s="7" t="inlineStr">
        <is>
          <t>2026-05-31</t>
        </is>
      </c>
      <c r="B152" s="66" t="n">
        <v>2026</v>
      </c>
      <c r="C152" s="66" t="n">
        <v>5</v>
      </c>
      <c r="D152" s="6" t="inlineStr">
        <is>
          <t>May</t>
        </is>
      </c>
      <c r="E152" s="7" t="inlineStr">
        <is>
          <t>2026-M05</t>
        </is>
      </c>
      <c r="F152" s="66" t="n">
        <v>2</v>
      </c>
    </row>
    <row r="153">
      <c r="A153" s="7" t="inlineStr">
        <is>
          <t>2026-06-01</t>
        </is>
      </c>
      <c r="B153" s="66" t="n">
        <v>2026</v>
      </c>
      <c r="C153" s="66" t="n">
        <v>6</v>
      </c>
      <c r="D153" s="6" t="inlineStr">
        <is>
          <t>June</t>
        </is>
      </c>
      <c r="E153" s="7" t="inlineStr">
        <is>
          <t>2026-M06</t>
        </is>
      </c>
      <c r="F153" s="66" t="n">
        <v>2</v>
      </c>
    </row>
    <row r="154">
      <c r="A154" s="7" t="inlineStr">
        <is>
          <t>2026-06-02</t>
        </is>
      </c>
      <c r="B154" s="66" t="n">
        <v>2026</v>
      </c>
      <c r="C154" s="66" t="n">
        <v>6</v>
      </c>
      <c r="D154" s="6" t="inlineStr">
        <is>
          <t>June</t>
        </is>
      </c>
      <c r="E154" s="7" t="inlineStr">
        <is>
          <t>2026-M06</t>
        </is>
      </c>
      <c r="F154" s="66" t="n">
        <v>2</v>
      </c>
    </row>
    <row r="155">
      <c r="A155" s="7" t="inlineStr">
        <is>
          <t>2026-06-03</t>
        </is>
      </c>
      <c r="B155" s="66" t="n">
        <v>2026</v>
      </c>
      <c r="C155" s="66" t="n">
        <v>6</v>
      </c>
      <c r="D155" s="6" t="inlineStr">
        <is>
          <t>June</t>
        </is>
      </c>
      <c r="E155" s="7" t="inlineStr">
        <is>
          <t>2026-M06</t>
        </is>
      </c>
      <c r="F155" s="66" t="n">
        <v>2</v>
      </c>
    </row>
    <row r="156">
      <c r="A156" s="7" t="inlineStr">
        <is>
          <t>2026-06-04</t>
        </is>
      </c>
      <c r="B156" s="66" t="n">
        <v>2026</v>
      </c>
      <c r="C156" s="66" t="n">
        <v>6</v>
      </c>
      <c r="D156" s="6" t="inlineStr">
        <is>
          <t>June</t>
        </is>
      </c>
      <c r="E156" s="7" t="inlineStr">
        <is>
          <t>2026-M06</t>
        </is>
      </c>
      <c r="F156" s="66" t="n">
        <v>2</v>
      </c>
    </row>
    <row r="157">
      <c r="A157" s="7" t="inlineStr">
        <is>
          <t>2026-06-05</t>
        </is>
      </c>
      <c r="B157" s="66" t="n">
        <v>2026</v>
      </c>
      <c r="C157" s="66" t="n">
        <v>6</v>
      </c>
      <c r="D157" s="6" t="inlineStr">
        <is>
          <t>June</t>
        </is>
      </c>
      <c r="E157" s="7" t="inlineStr">
        <is>
          <t>2026-M06</t>
        </is>
      </c>
      <c r="F157" s="66" t="n">
        <v>2</v>
      </c>
    </row>
    <row r="158">
      <c r="A158" s="7" t="inlineStr">
        <is>
          <t>2026-06-06</t>
        </is>
      </c>
      <c r="B158" s="66" t="n">
        <v>2026</v>
      </c>
      <c r="C158" s="66" t="n">
        <v>6</v>
      </c>
      <c r="D158" s="6" t="inlineStr">
        <is>
          <t>June</t>
        </is>
      </c>
      <c r="E158" s="7" t="inlineStr">
        <is>
          <t>2026-M06</t>
        </is>
      </c>
      <c r="F158" s="66" t="n">
        <v>2</v>
      </c>
    </row>
    <row r="159">
      <c r="A159" s="7" t="inlineStr">
        <is>
          <t>2026-06-07</t>
        </is>
      </c>
      <c r="B159" s="66" t="n">
        <v>2026</v>
      </c>
      <c r="C159" s="66" t="n">
        <v>6</v>
      </c>
      <c r="D159" s="6" t="inlineStr">
        <is>
          <t>June</t>
        </is>
      </c>
      <c r="E159" s="7" t="inlineStr">
        <is>
          <t>2026-M06</t>
        </is>
      </c>
      <c r="F159" s="66" t="n">
        <v>2</v>
      </c>
    </row>
    <row r="160">
      <c r="A160" s="7" t="inlineStr">
        <is>
          <t>2026-06-08</t>
        </is>
      </c>
      <c r="B160" s="66" t="n">
        <v>2026</v>
      </c>
      <c r="C160" s="66" t="n">
        <v>6</v>
      </c>
      <c r="D160" s="6" t="inlineStr">
        <is>
          <t>June</t>
        </is>
      </c>
      <c r="E160" s="7" t="inlineStr">
        <is>
          <t>2026-M06</t>
        </is>
      </c>
      <c r="F160" s="66" t="n">
        <v>2</v>
      </c>
    </row>
    <row r="161">
      <c r="A161" s="7" t="inlineStr">
        <is>
          <t>2026-06-09</t>
        </is>
      </c>
      <c r="B161" s="66" t="n">
        <v>2026</v>
      </c>
      <c r="C161" s="66" t="n">
        <v>6</v>
      </c>
      <c r="D161" s="6" t="inlineStr">
        <is>
          <t>June</t>
        </is>
      </c>
      <c r="E161" s="7" t="inlineStr">
        <is>
          <t>2026-M06</t>
        </is>
      </c>
      <c r="F161" s="66" t="n">
        <v>2</v>
      </c>
    </row>
    <row r="162">
      <c r="A162" s="7" t="inlineStr">
        <is>
          <t>2026-06-10</t>
        </is>
      </c>
      <c r="B162" s="66" t="n">
        <v>2026</v>
      </c>
      <c r="C162" s="66" t="n">
        <v>6</v>
      </c>
      <c r="D162" s="6" t="inlineStr">
        <is>
          <t>June</t>
        </is>
      </c>
      <c r="E162" s="7" t="inlineStr">
        <is>
          <t>2026-M06</t>
        </is>
      </c>
      <c r="F162" s="66" t="n">
        <v>2</v>
      </c>
    </row>
    <row r="163">
      <c r="A163" s="7" t="inlineStr">
        <is>
          <t>2026-06-11</t>
        </is>
      </c>
      <c r="B163" s="66" t="n">
        <v>2026</v>
      </c>
      <c r="C163" s="66" t="n">
        <v>6</v>
      </c>
      <c r="D163" s="6" t="inlineStr">
        <is>
          <t>June</t>
        </is>
      </c>
      <c r="E163" s="7" t="inlineStr">
        <is>
          <t>2026-M06</t>
        </is>
      </c>
      <c r="F163" s="66" t="n">
        <v>2</v>
      </c>
    </row>
    <row r="164">
      <c r="A164" s="7" t="inlineStr">
        <is>
          <t>2026-06-12</t>
        </is>
      </c>
      <c r="B164" s="66" t="n">
        <v>2026</v>
      </c>
      <c r="C164" s="66" t="n">
        <v>6</v>
      </c>
      <c r="D164" s="6" t="inlineStr">
        <is>
          <t>June</t>
        </is>
      </c>
      <c r="E164" s="7" t="inlineStr">
        <is>
          <t>2026-M06</t>
        </is>
      </c>
      <c r="F164" s="66" t="n">
        <v>2</v>
      </c>
    </row>
    <row r="165">
      <c r="A165" s="7" t="inlineStr">
        <is>
          <t>2026-06-13</t>
        </is>
      </c>
      <c r="B165" s="66" t="n">
        <v>2026</v>
      </c>
      <c r="C165" s="66" t="n">
        <v>6</v>
      </c>
      <c r="D165" s="6" t="inlineStr">
        <is>
          <t>June</t>
        </is>
      </c>
      <c r="E165" s="7" t="inlineStr">
        <is>
          <t>2026-M06</t>
        </is>
      </c>
      <c r="F165" s="66" t="n">
        <v>2</v>
      </c>
    </row>
    <row r="166">
      <c r="A166" s="7" t="inlineStr">
        <is>
          <t>2026-06-14</t>
        </is>
      </c>
      <c r="B166" s="66" t="n">
        <v>2026</v>
      </c>
      <c r="C166" s="66" t="n">
        <v>6</v>
      </c>
      <c r="D166" s="6" t="inlineStr">
        <is>
          <t>June</t>
        </is>
      </c>
      <c r="E166" s="7" t="inlineStr">
        <is>
          <t>2026-M06</t>
        </is>
      </c>
      <c r="F166" s="66" t="n">
        <v>2</v>
      </c>
    </row>
    <row r="167">
      <c r="A167" s="7" t="inlineStr">
        <is>
          <t>2026-06-15</t>
        </is>
      </c>
      <c r="B167" s="66" t="n">
        <v>2026</v>
      </c>
      <c r="C167" s="66" t="n">
        <v>6</v>
      </c>
      <c r="D167" s="6" t="inlineStr">
        <is>
          <t>June</t>
        </is>
      </c>
      <c r="E167" s="7" t="inlineStr">
        <is>
          <t>2026-M06</t>
        </is>
      </c>
      <c r="F167" s="66" t="n">
        <v>2</v>
      </c>
    </row>
    <row r="168">
      <c r="A168" s="7" t="inlineStr">
        <is>
          <t>2026-06-16</t>
        </is>
      </c>
      <c r="B168" s="66" t="n">
        <v>2026</v>
      </c>
      <c r="C168" s="66" t="n">
        <v>6</v>
      </c>
      <c r="D168" s="6" t="inlineStr">
        <is>
          <t>June</t>
        </is>
      </c>
      <c r="E168" s="7" t="inlineStr">
        <is>
          <t>2026-M06</t>
        </is>
      </c>
      <c r="F168" s="66" t="n">
        <v>2</v>
      </c>
    </row>
    <row r="169">
      <c r="A169" s="7" t="inlineStr">
        <is>
          <t>2026-06-17</t>
        </is>
      </c>
      <c r="B169" s="66" t="n">
        <v>2026</v>
      </c>
      <c r="C169" s="66" t="n">
        <v>6</v>
      </c>
      <c r="D169" s="6" t="inlineStr">
        <is>
          <t>June</t>
        </is>
      </c>
      <c r="E169" s="7" t="inlineStr">
        <is>
          <t>2026-M06</t>
        </is>
      </c>
      <c r="F169" s="66" t="n">
        <v>2</v>
      </c>
    </row>
    <row r="170">
      <c r="A170" s="7" t="inlineStr">
        <is>
          <t>2026-06-18</t>
        </is>
      </c>
      <c r="B170" s="66" t="n">
        <v>2026</v>
      </c>
      <c r="C170" s="66" t="n">
        <v>6</v>
      </c>
      <c r="D170" s="6" t="inlineStr">
        <is>
          <t>June</t>
        </is>
      </c>
      <c r="E170" s="7" t="inlineStr">
        <is>
          <t>2026-M06</t>
        </is>
      </c>
      <c r="F170" s="66" t="n">
        <v>2</v>
      </c>
    </row>
    <row r="171">
      <c r="A171" s="7" t="inlineStr">
        <is>
          <t>2026-06-19</t>
        </is>
      </c>
      <c r="B171" s="66" t="n">
        <v>2026</v>
      </c>
      <c r="C171" s="66" t="n">
        <v>6</v>
      </c>
      <c r="D171" s="6" t="inlineStr">
        <is>
          <t>June</t>
        </is>
      </c>
      <c r="E171" s="7" t="inlineStr">
        <is>
          <t>2026-M06</t>
        </is>
      </c>
      <c r="F171" s="66" t="n">
        <v>2</v>
      </c>
    </row>
    <row r="172">
      <c r="A172" s="7" t="inlineStr">
        <is>
          <t>2026-06-20</t>
        </is>
      </c>
      <c r="B172" s="66" t="n">
        <v>2026</v>
      </c>
      <c r="C172" s="66" t="n">
        <v>6</v>
      </c>
      <c r="D172" s="6" t="inlineStr">
        <is>
          <t>June</t>
        </is>
      </c>
      <c r="E172" s="7" t="inlineStr">
        <is>
          <t>2026-M06</t>
        </is>
      </c>
      <c r="F172" s="66" t="n">
        <v>2</v>
      </c>
    </row>
    <row r="173">
      <c r="A173" s="7" t="inlineStr">
        <is>
          <t>2026-06-21</t>
        </is>
      </c>
      <c r="B173" s="66" t="n">
        <v>2026</v>
      </c>
      <c r="C173" s="66" t="n">
        <v>6</v>
      </c>
      <c r="D173" s="6" t="inlineStr">
        <is>
          <t>June</t>
        </is>
      </c>
      <c r="E173" s="7" t="inlineStr">
        <is>
          <t>2026-M06</t>
        </is>
      </c>
      <c r="F173" s="66" t="n">
        <v>2</v>
      </c>
    </row>
    <row r="174">
      <c r="A174" s="7" t="inlineStr">
        <is>
          <t>2026-06-22</t>
        </is>
      </c>
      <c r="B174" s="66" t="n">
        <v>2026</v>
      </c>
      <c r="C174" s="66" t="n">
        <v>6</v>
      </c>
      <c r="D174" s="6" t="inlineStr">
        <is>
          <t>June</t>
        </is>
      </c>
      <c r="E174" s="7" t="inlineStr">
        <is>
          <t>2026-M06</t>
        </is>
      </c>
      <c r="F174" s="66" t="n">
        <v>2</v>
      </c>
    </row>
    <row r="175">
      <c r="A175" s="7" t="inlineStr">
        <is>
          <t>2026-06-23</t>
        </is>
      </c>
      <c r="B175" s="66" t="n">
        <v>2026</v>
      </c>
      <c r="C175" s="66" t="n">
        <v>6</v>
      </c>
      <c r="D175" s="6" t="inlineStr">
        <is>
          <t>June</t>
        </is>
      </c>
      <c r="E175" s="7" t="inlineStr">
        <is>
          <t>2026-M06</t>
        </is>
      </c>
      <c r="F175" s="66" t="n">
        <v>2</v>
      </c>
    </row>
    <row r="176">
      <c r="A176" s="7" t="inlineStr">
        <is>
          <t>2026-06-24</t>
        </is>
      </c>
      <c r="B176" s="66" t="n">
        <v>2026</v>
      </c>
      <c r="C176" s="66" t="n">
        <v>6</v>
      </c>
      <c r="D176" s="6" t="inlineStr">
        <is>
          <t>June</t>
        </is>
      </c>
      <c r="E176" s="7" t="inlineStr">
        <is>
          <t>2026-M06</t>
        </is>
      </c>
      <c r="F176" s="66" t="n">
        <v>2</v>
      </c>
    </row>
    <row r="177">
      <c r="A177" s="7" t="inlineStr">
        <is>
          <t>2026-06-25</t>
        </is>
      </c>
      <c r="B177" s="66" t="n">
        <v>2026</v>
      </c>
      <c r="C177" s="66" t="n">
        <v>6</v>
      </c>
      <c r="D177" s="6" t="inlineStr">
        <is>
          <t>June</t>
        </is>
      </c>
      <c r="E177" s="7" t="inlineStr">
        <is>
          <t>2026-M06</t>
        </is>
      </c>
      <c r="F177" s="66" t="n">
        <v>2</v>
      </c>
    </row>
    <row r="178">
      <c r="A178" s="7" t="inlineStr">
        <is>
          <t>2026-06-26</t>
        </is>
      </c>
      <c r="B178" s="66" t="n">
        <v>2026</v>
      </c>
      <c r="C178" s="66" t="n">
        <v>6</v>
      </c>
      <c r="D178" s="6" t="inlineStr">
        <is>
          <t>June</t>
        </is>
      </c>
      <c r="E178" s="7" t="inlineStr">
        <is>
          <t>2026-M06</t>
        </is>
      </c>
      <c r="F178" s="66" t="n">
        <v>2</v>
      </c>
    </row>
    <row r="179">
      <c r="A179" s="7" t="inlineStr">
        <is>
          <t>2026-06-27</t>
        </is>
      </c>
      <c r="B179" s="66" t="n">
        <v>2026</v>
      </c>
      <c r="C179" s="66" t="n">
        <v>6</v>
      </c>
      <c r="D179" s="6" t="inlineStr">
        <is>
          <t>June</t>
        </is>
      </c>
      <c r="E179" s="7" t="inlineStr">
        <is>
          <t>2026-M06</t>
        </is>
      </c>
      <c r="F179" s="66" t="n">
        <v>2</v>
      </c>
    </row>
    <row r="180">
      <c r="A180" s="7" t="inlineStr">
        <is>
          <t>2026-06-28</t>
        </is>
      </c>
      <c r="B180" s="66" t="n">
        <v>2026</v>
      </c>
      <c r="C180" s="66" t="n">
        <v>6</v>
      </c>
      <c r="D180" s="6" t="inlineStr">
        <is>
          <t>June</t>
        </is>
      </c>
      <c r="E180" s="7" t="inlineStr">
        <is>
          <t>2026-M06</t>
        </is>
      </c>
      <c r="F180" s="66" t="n">
        <v>2</v>
      </c>
    </row>
    <row r="181">
      <c r="A181" s="7" t="inlineStr">
        <is>
          <t>2026-06-29</t>
        </is>
      </c>
      <c r="B181" s="66" t="n">
        <v>2026</v>
      </c>
      <c r="C181" s="66" t="n">
        <v>6</v>
      </c>
      <c r="D181" s="6" t="inlineStr">
        <is>
          <t>June</t>
        </is>
      </c>
      <c r="E181" s="7" t="inlineStr">
        <is>
          <t>2026-M06</t>
        </is>
      </c>
      <c r="F181" s="66" t="n">
        <v>2</v>
      </c>
    </row>
    <row r="182">
      <c r="A182" s="7" t="inlineStr">
        <is>
          <t>2026-06-30</t>
        </is>
      </c>
      <c r="B182" s="66" t="n">
        <v>2026</v>
      </c>
      <c r="C182" s="66" t="n">
        <v>6</v>
      </c>
      <c r="D182" s="6" t="inlineStr">
        <is>
          <t>June</t>
        </is>
      </c>
      <c r="E182" s="7" t="inlineStr">
        <is>
          <t>2026-M06</t>
        </is>
      </c>
      <c r="F182" s="66" t="n">
        <v>2</v>
      </c>
    </row>
    <row r="183">
      <c r="A183" s="7" t="inlineStr">
        <is>
          <t>2026-07-01</t>
        </is>
      </c>
      <c r="B183" s="66" t="n">
        <v>2026</v>
      </c>
      <c r="C183" s="66" t="n">
        <v>7</v>
      </c>
      <c r="D183" s="6" t="inlineStr">
        <is>
          <t>July</t>
        </is>
      </c>
      <c r="E183" s="7" t="inlineStr">
        <is>
          <t>2026-M07</t>
        </is>
      </c>
      <c r="F183" s="66" t="n">
        <v>3</v>
      </c>
    </row>
    <row r="184">
      <c r="A184" s="7" t="inlineStr">
        <is>
          <t>2026-07-02</t>
        </is>
      </c>
      <c r="B184" s="66" t="n">
        <v>2026</v>
      </c>
      <c r="C184" s="66" t="n">
        <v>7</v>
      </c>
      <c r="D184" s="6" t="inlineStr">
        <is>
          <t>July</t>
        </is>
      </c>
      <c r="E184" s="7" t="inlineStr">
        <is>
          <t>2026-M07</t>
        </is>
      </c>
      <c r="F184" s="66" t="n">
        <v>3</v>
      </c>
    </row>
    <row r="185">
      <c r="A185" s="7" t="inlineStr">
        <is>
          <t>2026-07-03</t>
        </is>
      </c>
      <c r="B185" s="66" t="n">
        <v>2026</v>
      </c>
      <c r="C185" s="66" t="n">
        <v>7</v>
      </c>
      <c r="D185" s="6" t="inlineStr">
        <is>
          <t>July</t>
        </is>
      </c>
      <c r="E185" s="7" t="inlineStr">
        <is>
          <t>2026-M07</t>
        </is>
      </c>
      <c r="F185" s="66" t="n">
        <v>3</v>
      </c>
    </row>
    <row r="186">
      <c r="A186" s="7" t="inlineStr">
        <is>
          <t>2026-07-04</t>
        </is>
      </c>
      <c r="B186" s="66" t="n">
        <v>2026</v>
      </c>
      <c r="C186" s="66" t="n">
        <v>7</v>
      </c>
      <c r="D186" s="6" t="inlineStr">
        <is>
          <t>July</t>
        </is>
      </c>
      <c r="E186" s="7" t="inlineStr">
        <is>
          <t>2026-M07</t>
        </is>
      </c>
      <c r="F186" s="66" t="n">
        <v>3</v>
      </c>
    </row>
    <row r="187">
      <c r="A187" s="7" t="inlineStr">
        <is>
          <t>2026-07-05</t>
        </is>
      </c>
      <c r="B187" s="66" t="n">
        <v>2026</v>
      </c>
      <c r="C187" s="66" t="n">
        <v>7</v>
      </c>
      <c r="D187" s="6" t="inlineStr">
        <is>
          <t>July</t>
        </is>
      </c>
      <c r="E187" s="7" t="inlineStr">
        <is>
          <t>2026-M07</t>
        </is>
      </c>
      <c r="F187" s="66" t="n">
        <v>3</v>
      </c>
    </row>
    <row r="188">
      <c r="A188" s="7" t="inlineStr">
        <is>
          <t>2026-07-06</t>
        </is>
      </c>
      <c r="B188" s="66" t="n">
        <v>2026</v>
      </c>
      <c r="C188" s="66" t="n">
        <v>7</v>
      </c>
      <c r="D188" s="6" t="inlineStr">
        <is>
          <t>July</t>
        </is>
      </c>
      <c r="E188" s="7" t="inlineStr">
        <is>
          <t>2026-M07</t>
        </is>
      </c>
      <c r="F188" s="66" t="n">
        <v>3</v>
      </c>
    </row>
    <row r="189">
      <c r="A189" s="7" t="inlineStr">
        <is>
          <t>2026-07-07</t>
        </is>
      </c>
      <c r="B189" s="66" t="n">
        <v>2026</v>
      </c>
      <c r="C189" s="66" t="n">
        <v>7</v>
      </c>
      <c r="D189" s="6" t="inlineStr">
        <is>
          <t>July</t>
        </is>
      </c>
      <c r="E189" s="7" t="inlineStr">
        <is>
          <t>2026-M07</t>
        </is>
      </c>
      <c r="F189" s="66" t="n">
        <v>3</v>
      </c>
    </row>
    <row r="190">
      <c r="A190" s="7" t="inlineStr">
        <is>
          <t>2026-07-08</t>
        </is>
      </c>
      <c r="B190" s="66" t="n">
        <v>2026</v>
      </c>
      <c r="C190" s="66" t="n">
        <v>7</v>
      </c>
      <c r="D190" s="6" t="inlineStr">
        <is>
          <t>July</t>
        </is>
      </c>
      <c r="E190" s="7" t="inlineStr">
        <is>
          <t>2026-M07</t>
        </is>
      </c>
      <c r="F190" s="66" t="n">
        <v>3</v>
      </c>
    </row>
    <row r="191">
      <c r="A191" s="7" t="inlineStr">
        <is>
          <t>2026-07-09</t>
        </is>
      </c>
      <c r="B191" s="66" t="n">
        <v>2026</v>
      </c>
      <c r="C191" s="66" t="n">
        <v>7</v>
      </c>
      <c r="D191" s="6" t="inlineStr">
        <is>
          <t>July</t>
        </is>
      </c>
      <c r="E191" s="7" t="inlineStr">
        <is>
          <t>2026-M07</t>
        </is>
      </c>
      <c r="F191" s="66" t="n">
        <v>3</v>
      </c>
    </row>
    <row r="192">
      <c r="A192" s="7" t="inlineStr">
        <is>
          <t>2026-07-10</t>
        </is>
      </c>
      <c r="B192" s="66" t="n">
        <v>2026</v>
      </c>
      <c r="C192" s="66" t="n">
        <v>7</v>
      </c>
      <c r="D192" s="6" t="inlineStr">
        <is>
          <t>July</t>
        </is>
      </c>
      <c r="E192" s="7" t="inlineStr">
        <is>
          <t>2026-M07</t>
        </is>
      </c>
      <c r="F192" s="66" t="n">
        <v>3</v>
      </c>
    </row>
    <row r="193">
      <c r="A193" s="7" t="inlineStr">
        <is>
          <t>2026-07-11</t>
        </is>
      </c>
      <c r="B193" s="66" t="n">
        <v>2026</v>
      </c>
      <c r="C193" s="66" t="n">
        <v>7</v>
      </c>
      <c r="D193" s="6" t="inlineStr">
        <is>
          <t>July</t>
        </is>
      </c>
      <c r="E193" s="7" t="inlineStr">
        <is>
          <t>2026-M07</t>
        </is>
      </c>
      <c r="F193" s="66" t="n">
        <v>3</v>
      </c>
    </row>
    <row r="194">
      <c r="A194" s="7" t="inlineStr">
        <is>
          <t>2026-07-12</t>
        </is>
      </c>
      <c r="B194" s="66" t="n">
        <v>2026</v>
      </c>
      <c r="C194" s="66" t="n">
        <v>7</v>
      </c>
      <c r="D194" s="6" t="inlineStr">
        <is>
          <t>July</t>
        </is>
      </c>
      <c r="E194" s="7" t="inlineStr">
        <is>
          <t>2026-M07</t>
        </is>
      </c>
      <c r="F194" s="66" t="n">
        <v>3</v>
      </c>
    </row>
    <row r="195">
      <c r="A195" s="7" t="inlineStr">
        <is>
          <t>2026-07-13</t>
        </is>
      </c>
      <c r="B195" s="66" t="n">
        <v>2026</v>
      </c>
      <c r="C195" s="66" t="n">
        <v>7</v>
      </c>
      <c r="D195" s="6" t="inlineStr">
        <is>
          <t>July</t>
        </is>
      </c>
      <c r="E195" s="7" t="inlineStr">
        <is>
          <t>2026-M07</t>
        </is>
      </c>
      <c r="F195" s="66" t="n">
        <v>3</v>
      </c>
    </row>
    <row r="196">
      <c r="A196" s="7" t="inlineStr">
        <is>
          <t>2026-07-14</t>
        </is>
      </c>
      <c r="B196" s="66" t="n">
        <v>2026</v>
      </c>
      <c r="C196" s="66" t="n">
        <v>7</v>
      </c>
      <c r="D196" s="6" t="inlineStr">
        <is>
          <t>July</t>
        </is>
      </c>
      <c r="E196" s="7" t="inlineStr">
        <is>
          <t>2026-M07</t>
        </is>
      </c>
      <c r="F196" s="66" t="n">
        <v>3</v>
      </c>
    </row>
    <row r="197">
      <c r="A197" s="7" t="inlineStr">
        <is>
          <t>2026-07-15</t>
        </is>
      </c>
      <c r="B197" s="66" t="n">
        <v>2026</v>
      </c>
      <c r="C197" s="66" t="n">
        <v>7</v>
      </c>
      <c r="D197" s="6" t="inlineStr">
        <is>
          <t>July</t>
        </is>
      </c>
      <c r="E197" s="7" t="inlineStr">
        <is>
          <t>2026-M07</t>
        </is>
      </c>
      <c r="F197" s="66" t="n">
        <v>3</v>
      </c>
    </row>
    <row r="198">
      <c r="A198" s="7" t="inlineStr">
        <is>
          <t>2026-07-16</t>
        </is>
      </c>
      <c r="B198" s="66" t="n">
        <v>2026</v>
      </c>
      <c r="C198" s="66" t="n">
        <v>7</v>
      </c>
      <c r="D198" s="6" t="inlineStr">
        <is>
          <t>July</t>
        </is>
      </c>
      <c r="E198" s="7" t="inlineStr">
        <is>
          <t>2026-M07</t>
        </is>
      </c>
      <c r="F198" s="66" t="n">
        <v>3</v>
      </c>
    </row>
    <row r="199">
      <c r="A199" s="7" t="inlineStr">
        <is>
          <t>2026-07-17</t>
        </is>
      </c>
      <c r="B199" s="66" t="n">
        <v>2026</v>
      </c>
      <c r="C199" s="66" t="n">
        <v>7</v>
      </c>
      <c r="D199" s="6" t="inlineStr">
        <is>
          <t>July</t>
        </is>
      </c>
      <c r="E199" s="7" t="inlineStr">
        <is>
          <t>2026-M07</t>
        </is>
      </c>
      <c r="F199" s="66" t="n">
        <v>3</v>
      </c>
    </row>
    <row r="200">
      <c r="A200" s="7" t="inlineStr">
        <is>
          <t>2026-07-18</t>
        </is>
      </c>
      <c r="B200" s="66" t="n">
        <v>2026</v>
      </c>
      <c r="C200" s="66" t="n">
        <v>7</v>
      </c>
      <c r="D200" s="6" t="inlineStr">
        <is>
          <t>July</t>
        </is>
      </c>
      <c r="E200" s="7" t="inlineStr">
        <is>
          <t>2026-M07</t>
        </is>
      </c>
      <c r="F200" s="66" t="n">
        <v>3</v>
      </c>
    </row>
    <row r="201">
      <c r="A201" s="7" t="inlineStr">
        <is>
          <t>2026-07-19</t>
        </is>
      </c>
      <c r="B201" s="66" t="n">
        <v>2026</v>
      </c>
      <c r="C201" s="66" t="n">
        <v>7</v>
      </c>
      <c r="D201" s="6" t="inlineStr">
        <is>
          <t>July</t>
        </is>
      </c>
      <c r="E201" s="7" t="inlineStr">
        <is>
          <t>2026-M07</t>
        </is>
      </c>
      <c r="F201" s="66" t="n">
        <v>3</v>
      </c>
    </row>
    <row r="202">
      <c r="A202" s="7" t="inlineStr">
        <is>
          <t>2026-07-20</t>
        </is>
      </c>
      <c r="B202" s="66" t="n">
        <v>2026</v>
      </c>
      <c r="C202" s="66" t="n">
        <v>7</v>
      </c>
      <c r="D202" s="6" t="inlineStr">
        <is>
          <t>July</t>
        </is>
      </c>
      <c r="E202" s="7" t="inlineStr">
        <is>
          <t>2026-M07</t>
        </is>
      </c>
      <c r="F202" s="66" t="n">
        <v>3</v>
      </c>
    </row>
    <row r="203">
      <c r="A203" s="7" t="inlineStr">
        <is>
          <t>2026-07-21</t>
        </is>
      </c>
      <c r="B203" s="66" t="n">
        <v>2026</v>
      </c>
      <c r="C203" s="66" t="n">
        <v>7</v>
      </c>
      <c r="D203" s="6" t="inlineStr">
        <is>
          <t>July</t>
        </is>
      </c>
      <c r="E203" s="7" t="inlineStr">
        <is>
          <t>2026-M07</t>
        </is>
      </c>
      <c r="F203" s="66" t="n">
        <v>3</v>
      </c>
    </row>
    <row r="204">
      <c r="A204" s="7" t="inlineStr">
        <is>
          <t>2026-07-22</t>
        </is>
      </c>
      <c r="B204" s="66" t="n">
        <v>2026</v>
      </c>
      <c r="C204" s="66" t="n">
        <v>7</v>
      </c>
      <c r="D204" s="6" t="inlineStr">
        <is>
          <t>July</t>
        </is>
      </c>
      <c r="E204" s="7" t="inlineStr">
        <is>
          <t>2026-M07</t>
        </is>
      </c>
      <c r="F204" s="66" t="n">
        <v>3</v>
      </c>
    </row>
    <row r="205">
      <c r="A205" s="7" t="inlineStr">
        <is>
          <t>2026-07-23</t>
        </is>
      </c>
      <c r="B205" s="66" t="n">
        <v>2026</v>
      </c>
      <c r="C205" s="66" t="n">
        <v>7</v>
      </c>
      <c r="D205" s="6" t="inlineStr">
        <is>
          <t>July</t>
        </is>
      </c>
      <c r="E205" s="7" t="inlineStr">
        <is>
          <t>2026-M07</t>
        </is>
      </c>
      <c r="F205" s="66" t="n">
        <v>3</v>
      </c>
    </row>
    <row r="206">
      <c r="A206" s="7" t="inlineStr">
        <is>
          <t>2026-07-24</t>
        </is>
      </c>
      <c r="B206" s="66" t="n">
        <v>2026</v>
      </c>
      <c r="C206" s="66" t="n">
        <v>7</v>
      </c>
      <c r="D206" s="6" t="inlineStr">
        <is>
          <t>July</t>
        </is>
      </c>
      <c r="E206" s="7" t="inlineStr">
        <is>
          <t>2026-M07</t>
        </is>
      </c>
      <c r="F206" s="66" t="n">
        <v>3</v>
      </c>
    </row>
    <row r="207">
      <c r="A207" s="7" t="inlineStr">
        <is>
          <t>2026-07-25</t>
        </is>
      </c>
      <c r="B207" s="66" t="n">
        <v>2026</v>
      </c>
      <c r="C207" s="66" t="n">
        <v>7</v>
      </c>
      <c r="D207" s="6" t="inlineStr">
        <is>
          <t>July</t>
        </is>
      </c>
      <c r="E207" s="7" t="inlineStr">
        <is>
          <t>2026-M07</t>
        </is>
      </c>
      <c r="F207" s="66" t="n">
        <v>3</v>
      </c>
    </row>
    <row r="208">
      <c r="A208" s="7" t="inlineStr">
        <is>
          <t>2026-07-26</t>
        </is>
      </c>
      <c r="B208" s="66" t="n">
        <v>2026</v>
      </c>
      <c r="C208" s="66" t="n">
        <v>7</v>
      </c>
      <c r="D208" s="6" t="inlineStr">
        <is>
          <t>July</t>
        </is>
      </c>
      <c r="E208" s="7" t="inlineStr">
        <is>
          <t>2026-M07</t>
        </is>
      </c>
      <c r="F208" s="66" t="n">
        <v>3</v>
      </c>
    </row>
    <row r="209">
      <c r="A209" s="7" t="inlineStr">
        <is>
          <t>2026-07-27</t>
        </is>
      </c>
      <c r="B209" s="66" t="n">
        <v>2026</v>
      </c>
      <c r="C209" s="66" t="n">
        <v>7</v>
      </c>
      <c r="D209" s="6" t="inlineStr">
        <is>
          <t>July</t>
        </is>
      </c>
      <c r="E209" s="7" t="inlineStr">
        <is>
          <t>2026-M07</t>
        </is>
      </c>
      <c r="F209" s="66" t="n">
        <v>3</v>
      </c>
    </row>
    <row r="210">
      <c r="A210" s="7" t="inlineStr">
        <is>
          <t>2026-07-28</t>
        </is>
      </c>
      <c r="B210" s="66" t="n">
        <v>2026</v>
      </c>
      <c r="C210" s="66" t="n">
        <v>7</v>
      </c>
      <c r="D210" s="6" t="inlineStr">
        <is>
          <t>July</t>
        </is>
      </c>
      <c r="E210" s="7" t="inlineStr">
        <is>
          <t>2026-M07</t>
        </is>
      </c>
      <c r="F210" s="66" t="n">
        <v>3</v>
      </c>
    </row>
    <row r="211">
      <c r="A211" s="7" t="inlineStr">
        <is>
          <t>2026-07-29</t>
        </is>
      </c>
      <c r="B211" s="66" t="n">
        <v>2026</v>
      </c>
      <c r="C211" s="66" t="n">
        <v>7</v>
      </c>
      <c r="D211" s="6" t="inlineStr">
        <is>
          <t>July</t>
        </is>
      </c>
      <c r="E211" s="7" t="inlineStr">
        <is>
          <t>2026-M07</t>
        </is>
      </c>
      <c r="F211" s="66" t="n">
        <v>3</v>
      </c>
    </row>
    <row r="212">
      <c r="A212" s="7" t="inlineStr">
        <is>
          <t>2026-07-30</t>
        </is>
      </c>
      <c r="B212" s="66" t="n">
        <v>2026</v>
      </c>
      <c r="C212" s="66" t="n">
        <v>7</v>
      </c>
      <c r="D212" s="6" t="inlineStr">
        <is>
          <t>July</t>
        </is>
      </c>
      <c r="E212" s="7" t="inlineStr">
        <is>
          <t>2026-M07</t>
        </is>
      </c>
      <c r="F212" s="66" t="n">
        <v>3</v>
      </c>
    </row>
    <row r="213">
      <c r="A213" s="7" t="inlineStr">
        <is>
          <t>2026-07-31</t>
        </is>
      </c>
      <c r="B213" s="66" t="n">
        <v>2026</v>
      </c>
      <c r="C213" s="66" t="n">
        <v>7</v>
      </c>
      <c r="D213" s="6" t="inlineStr">
        <is>
          <t>July</t>
        </is>
      </c>
      <c r="E213" s="7" t="inlineStr">
        <is>
          <t>2026-M07</t>
        </is>
      </c>
      <c r="F213" s="66" t="n">
        <v>3</v>
      </c>
    </row>
    <row r="214">
      <c r="A214" s="7" t="inlineStr">
        <is>
          <t>2026-08-01</t>
        </is>
      </c>
      <c r="B214" s="66" t="n">
        <v>2026</v>
      </c>
      <c r="C214" s="66" t="n">
        <v>8</v>
      </c>
      <c r="D214" s="6" t="inlineStr">
        <is>
          <t>August</t>
        </is>
      </c>
      <c r="E214" s="7" t="inlineStr">
        <is>
          <t>2026-M08</t>
        </is>
      </c>
      <c r="F214" s="66" t="n">
        <v>3</v>
      </c>
    </row>
    <row r="215">
      <c r="A215" s="7" t="inlineStr">
        <is>
          <t>2026-08-02</t>
        </is>
      </c>
      <c r="B215" s="66" t="n">
        <v>2026</v>
      </c>
      <c r="C215" s="66" t="n">
        <v>8</v>
      </c>
      <c r="D215" s="6" t="inlineStr">
        <is>
          <t>August</t>
        </is>
      </c>
      <c r="E215" s="7" t="inlineStr">
        <is>
          <t>2026-M08</t>
        </is>
      </c>
      <c r="F215" s="66" t="n">
        <v>3</v>
      </c>
    </row>
    <row r="216">
      <c r="A216" s="7" t="inlineStr">
        <is>
          <t>2026-08-03</t>
        </is>
      </c>
      <c r="B216" s="66" t="n">
        <v>2026</v>
      </c>
      <c r="C216" s="66" t="n">
        <v>8</v>
      </c>
      <c r="D216" s="6" t="inlineStr">
        <is>
          <t>August</t>
        </is>
      </c>
      <c r="E216" s="7" t="inlineStr">
        <is>
          <t>2026-M08</t>
        </is>
      </c>
      <c r="F216" s="66" t="n">
        <v>3</v>
      </c>
    </row>
    <row r="217">
      <c r="A217" s="7" t="inlineStr">
        <is>
          <t>2026-08-04</t>
        </is>
      </c>
      <c r="B217" s="66" t="n">
        <v>2026</v>
      </c>
      <c r="C217" s="66" t="n">
        <v>8</v>
      </c>
      <c r="D217" s="6" t="inlineStr">
        <is>
          <t>August</t>
        </is>
      </c>
      <c r="E217" s="7" t="inlineStr">
        <is>
          <t>2026-M08</t>
        </is>
      </c>
      <c r="F217" s="66" t="n">
        <v>3</v>
      </c>
    </row>
    <row r="218">
      <c r="A218" s="7" t="inlineStr">
        <is>
          <t>2026-08-05</t>
        </is>
      </c>
      <c r="B218" s="66" t="n">
        <v>2026</v>
      </c>
      <c r="C218" s="66" t="n">
        <v>8</v>
      </c>
      <c r="D218" s="6" t="inlineStr">
        <is>
          <t>August</t>
        </is>
      </c>
      <c r="E218" s="7" t="inlineStr">
        <is>
          <t>2026-M08</t>
        </is>
      </c>
      <c r="F218" s="66" t="n">
        <v>3</v>
      </c>
    </row>
    <row r="219">
      <c r="A219" s="7" t="inlineStr">
        <is>
          <t>2026-08-06</t>
        </is>
      </c>
      <c r="B219" s="66" t="n">
        <v>2026</v>
      </c>
      <c r="C219" s="66" t="n">
        <v>8</v>
      </c>
      <c r="D219" s="6" t="inlineStr">
        <is>
          <t>August</t>
        </is>
      </c>
      <c r="E219" s="7" t="inlineStr">
        <is>
          <t>2026-M08</t>
        </is>
      </c>
      <c r="F219" s="66" t="n">
        <v>3</v>
      </c>
    </row>
    <row r="220">
      <c r="A220" s="7" t="inlineStr">
        <is>
          <t>2026-08-07</t>
        </is>
      </c>
      <c r="B220" s="66" t="n">
        <v>2026</v>
      </c>
      <c r="C220" s="66" t="n">
        <v>8</v>
      </c>
      <c r="D220" s="6" t="inlineStr">
        <is>
          <t>August</t>
        </is>
      </c>
      <c r="E220" s="7" t="inlineStr">
        <is>
          <t>2026-M08</t>
        </is>
      </c>
      <c r="F220" s="66" t="n">
        <v>3</v>
      </c>
    </row>
    <row r="221">
      <c r="A221" s="7" t="inlineStr">
        <is>
          <t>2026-08-08</t>
        </is>
      </c>
      <c r="B221" s="66" t="n">
        <v>2026</v>
      </c>
      <c r="C221" s="66" t="n">
        <v>8</v>
      </c>
      <c r="D221" s="6" t="inlineStr">
        <is>
          <t>August</t>
        </is>
      </c>
      <c r="E221" s="7" t="inlineStr">
        <is>
          <t>2026-M08</t>
        </is>
      </c>
      <c r="F221" s="66" t="n">
        <v>3</v>
      </c>
    </row>
    <row r="222">
      <c r="A222" s="7" t="inlineStr">
        <is>
          <t>2026-08-09</t>
        </is>
      </c>
      <c r="B222" s="66" t="n">
        <v>2026</v>
      </c>
      <c r="C222" s="66" t="n">
        <v>8</v>
      </c>
      <c r="D222" s="6" t="inlineStr">
        <is>
          <t>August</t>
        </is>
      </c>
      <c r="E222" s="7" t="inlineStr">
        <is>
          <t>2026-M08</t>
        </is>
      </c>
      <c r="F222" s="66" t="n">
        <v>3</v>
      </c>
    </row>
    <row r="223">
      <c r="A223" s="7" t="inlineStr">
        <is>
          <t>2026-08-10</t>
        </is>
      </c>
      <c r="B223" s="66" t="n">
        <v>2026</v>
      </c>
      <c r="C223" s="66" t="n">
        <v>8</v>
      </c>
      <c r="D223" s="6" t="inlineStr">
        <is>
          <t>August</t>
        </is>
      </c>
      <c r="E223" s="7" t="inlineStr">
        <is>
          <t>2026-M08</t>
        </is>
      </c>
      <c r="F223" s="66" t="n">
        <v>3</v>
      </c>
    </row>
    <row r="224">
      <c r="A224" s="7" t="inlineStr">
        <is>
          <t>2026-08-11</t>
        </is>
      </c>
      <c r="B224" s="66" t="n">
        <v>2026</v>
      </c>
      <c r="C224" s="66" t="n">
        <v>8</v>
      </c>
      <c r="D224" s="6" t="inlineStr">
        <is>
          <t>August</t>
        </is>
      </c>
      <c r="E224" s="7" t="inlineStr">
        <is>
          <t>2026-M08</t>
        </is>
      </c>
      <c r="F224" s="66" t="n">
        <v>3</v>
      </c>
    </row>
    <row r="225">
      <c r="A225" s="7" t="inlineStr">
        <is>
          <t>2026-08-12</t>
        </is>
      </c>
      <c r="B225" s="66" t="n">
        <v>2026</v>
      </c>
      <c r="C225" s="66" t="n">
        <v>8</v>
      </c>
      <c r="D225" s="6" t="inlineStr">
        <is>
          <t>August</t>
        </is>
      </c>
      <c r="E225" s="7" t="inlineStr">
        <is>
          <t>2026-M08</t>
        </is>
      </c>
      <c r="F225" s="66" t="n">
        <v>3</v>
      </c>
    </row>
    <row r="226">
      <c r="A226" s="7" t="inlineStr">
        <is>
          <t>2026-08-13</t>
        </is>
      </c>
      <c r="B226" s="66" t="n">
        <v>2026</v>
      </c>
      <c r="C226" s="66" t="n">
        <v>8</v>
      </c>
      <c r="D226" s="6" t="inlineStr">
        <is>
          <t>August</t>
        </is>
      </c>
      <c r="E226" s="7" t="inlineStr">
        <is>
          <t>2026-M08</t>
        </is>
      </c>
      <c r="F226" s="66" t="n">
        <v>3</v>
      </c>
    </row>
    <row r="227">
      <c r="A227" s="7" t="inlineStr">
        <is>
          <t>2026-08-14</t>
        </is>
      </c>
      <c r="B227" s="66" t="n">
        <v>2026</v>
      </c>
      <c r="C227" s="66" t="n">
        <v>8</v>
      </c>
      <c r="D227" s="6" t="inlineStr">
        <is>
          <t>August</t>
        </is>
      </c>
      <c r="E227" s="7" t="inlineStr">
        <is>
          <t>2026-M08</t>
        </is>
      </c>
      <c r="F227" s="66" t="n">
        <v>3</v>
      </c>
    </row>
    <row r="228">
      <c r="A228" s="7" t="inlineStr">
        <is>
          <t>2026-08-15</t>
        </is>
      </c>
      <c r="B228" s="66" t="n">
        <v>2026</v>
      </c>
      <c r="C228" s="66" t="n">
        <v>8</v>
      </c>
      <c r="D228" s="6" t="inlineStr">
        <is>
          <t>August</t>
        </is>
      </c>
      <c r="E228" s="7" t="inlineStr">
        <is>
          <t>2026-M08</t>
        </is>
      </c>
      <c r="F228" s="66" t="n">
        <v>3</v>
      </c>
    </row>
    <row r="229">
      <c r="A229" s="7" t="inlineStr">
        <is>
          <t>2026-08-16</t>
        </is>
      </c>
      <c r="B229" s="66" t="n">
        <v>2026</v>
      </c>
      <c r="C229" s="66" t="n">
        <v>8</v>
      </c>
      <c r="D229" s="6" t="inlineStr">
        <is>
          <t>August</t>
        </is>
      </c>
      <c r="E229" s="7" t="inlineStr">
        <is>
          <t>2026-M08</t>
        </is>
      </c>
      <c r="F229" s="66" t="n">
        <v>3</v>
      </c>
    </row>
    <row r="230">
      <c r="A230" s="7" t="inlineStr">
        <is>
          <t>2026-08-17</t>
        </is>
      </c>
      <c r="B230" s="66" t="n">
        <v>2026</v>
      </c>
      <c r="C230" s="66" t="n">
        <v>8</v>
      </c>
      <c r="D230" s="6" t="inlineStr">
        <is>
          <t>August</t>
        </is>
      </c>
      <c r="E230" s="7" t="inlineStr">
        <is>
          <t>2026-M08</t>
        </is>
      </c>
      <c r="F230" s="66" t="n">
        <v>3</v>
      </c>
    </row>
    <row r="231">
      <c r="A231" s="7" t="inlineStr">
        <is>
          <t>2026-08-18</t>
        </is>
      </c>
      <c r="B231" s="66" t="n">
        <v>2026</v>
      </c>
      <c r="C231" s="66" t="n">
        <v>8</v>
      </c>
      <c r="D231" s="6" t="inlineStr">
        <is>
          <t>August</t>
        </is>
      </c>
      <c r="E231" s="7" t="inlineStr">
        <is>
          <t>2026-M08</t>
        </is>
      </c>
      <c r="F231" s="66" t="n">
        <v>3</v>
      </c>
    </row>
    <row r="232">
      <c r="A232" s="7" t="inlineStr">
        <is>
          <t>2026-08-19</t>
        </is>
      </c>
      <c r="B232" s="66" t="n">
        <v>2026</v>
      </c>
      <c r="C232" s="66" t="n">
        <v>8</v>
      </c>
      <c r="D232" s="6" t="inlineStr">
        <is>
          <t>August</t>
        </is>
      </c>
      <c r="E232" s="7" t="inlineStr">
        <is>
          <t>2026-M08</t>
        </is>
      </c>
      <c r="F232" s="66" t="n">
        <v>3</v>
      </c>
    </row>
    <row r="233">
      <c r="A233" s="7" t="inlineStr">
        <is>
          <t>2026-08-20</t>
        </is>
      </c>
      <c r="B233" s="66" t="n">
        <v>2026</v>
      </c>
      <c r="C233" s="66" t="n">
        <v>8</v>
      </c>
      <c r="D233" s="6" t="inlineStr">
        <is>
          <t>August</t>
        </is>
      </c>
      <c r="E233" s="7" t="inlineStr">
        <is>
          <t>2026-M08</t>
        </is>
      </c>
      <c r="F233" s="66" t="n">
        <v>3</v>
      </c>
    </row>
    <row r="234">
      <c r="A234" s="7" t="inlineStr">
        <is>
          <t>2026-08-21</t>
        </is>
      </c>
      <c r="B234" s="66" t="n">
        <v>2026</v>
      </c>
      <c r="C234" s="66" t="n">
        <v>8</v>
      </c>
      <c r="D234" s="6" t="inlineStr">
        <is>
          <t>August</t>
        </is>
      </c>
      <c r="E234" s="7" t="inlineStr">
        <is>
          <t>2026-M08</t>
        </is>
      </c>
      <c r="F234" s="66" t="n">
        <v>3</v>
      </c>
    </row>
    <row r="235">
      <c r="A235" s="7" t="inlineStr">
        <is>
          <t>2026-08-22</t>
        </is>
      </c>
      <c r="B235" s="66" t="n">
        <v>2026</v>
      </c>
      <c r="C235" s="66" t="n">
        <v>8</v>
      </c>
      <c r="D235" s="6" t="inlineStr">
        <is>
          <t>August</t>
        </is>
      </c>
      <c r="E235" s="7" t="inlineStr">
        <is>
          <t>2026-M08</t>
        </is>
      </c>
      <c r="F235" s="66" t="n">
        <v>3</v>
      </c>
    </row>
    <row r="236">
      <c r="A236" s="7" t="inlineStr">
        <is>
          <t>2026-08-23</t>
        </is>
      </c>
      <c r="B236" s="66" t="n">
        <v>2026</v>
      </c>
      <c r="C236" s="66" t="n">
        <v>8</v>
      </c>
      <c r="D236" s="6" t="inlineStr">
        <is>
          <t>August</t>
        </is>
      </c>
      <c r="E236" s="7" t="inlineStr">
        <is>
          <t>2026-M08</t>
        </is>
      </c>
      <c r="F236" s="66" t="n">
        <v>3</v>
      </c>
    </row>
    <row r="237">
      <c r="A237" s="7" t="inlineStr">
        <is>
          <t>2026-08-24</t>
        </is>
      </c>
      <c r="B237" s="66" t="n">
        <v>2026</v>
      </c>
      <c r="C237" s="66" t="n">
        <v>8</v>
      </c>
      <c r="D237" s="6" t="inlineStr">
        <is>
          <t>August</t>
        </is>
      </c>
      <c r="E237" s="7" t="inlineStr">
        <is>
          <t>2026-M08</t>
        </is>
      </c>
      <c r="F237" s="66" t="n">
        <v>3</v>
      </c>
    </row>
    <row r="238">
      <c r="A238" s="7" t="inlineStr">
        <is>
          <t>2026-08-25</t>
        </is>
      </c>
      <c r="B238" s="66" t="n">
        <v>2026</v>
      </c>
      <c r="C238" s="66" t="n">
        <v>8</v>
      </c>
      <c r="D238" s="6" t="inlineStr">
        <is>
          <t>August</t>
        </is>
      </c>
      <c r="E238" s="7" t="inlineStr">
        <is>
          <t>2026-M08</t>
        </is>
      </c>
      <c r="F238" s="66" t="n">
        <v>3</v>
      </c>
    </row>
    <row r="239">
      <c r="A239" s="7" t="inlineStr">
        <is>
          <t>2026-08-26</t>
        </is>
      </c>
      <c r="B239" s="66" t="n">
        <v>2026</v>
      </c>
      <c r="C239" s="66" t="n">
        <v>8</v>
      </c>
      <c r="D239" s="6" t="inlineStr">
        <is>
          <t>August</t>
        </is>
      </c>
      <c r="E239" s="7" t="inlineStr">
        <is>
          <t>2026-M08</t>
        </is>
      </c>
      <c r="F239" s="66" t="n">
        <v>3</v>
      </c>
    </row>
    <row r="240">
      <c r="A240" s="7" t="inlineStr">
        <is>
          <t>2026-08-27</t>
        </is>
      </c>
      <c r="B240" s="66" t="n">
        <v>2026</v>
      </c>
      <c r="C240" s="66" t="n">
        <v>8</v>
      </c>
      <c r="D240" s="6" t="inlineStr">
        <is>
          <t>August</t>
        </is>
      </c>
      <c r="E240" s="7" t="inlineStr">
        <is>
          <t>2026-M08</t>
        </is>
      </c>
      <c r="F240" s="66" t="n">
        <v>3</v>
      </c>
    </row>
    <row r="241">
      <c r="A241" s="7" t="inlineStr">
        <is>
          <t>2026-08-28</t>
        </is>
      </c>
      <c r="B241" s="66" t="n">
        <v>2026</v>
      </c>
      <c r="C241" s="66" t="n">
        <v>8</v>
      </c>
      <c r="D241" s="6" t="inlineStr">
        <is>
          <t>August</t>
        </is>
      </c>
      <c r="E241" s="7" t="inlineStr">
        <is>
          <t>2026-M08</t>
        </is>
      </c>
      <c r="F241" s="66" t="n">
        <v>3</v>
      </c>
    </row>
    <row r="242">
      <c r="A242" s="7" t="inlineStr">
        <is>
          <t>2026-08-29</t>
        </is>
      </c>
      <c r="B242" s="66" t="n">
        <v>2026</v>
      </c>
      <c r="C242" s="66" t="n">
        <v>8</v>
      </c>
      <c r="D242" s="6" t="inlineStr">
        <is>
          <t>August</t>
        </is>
      </c>
      <c r="E242" s="7" t="inlineStr">
        <is>
          <t>2026-M08</t>
        </is>
      </c>
      <c r="F242" s="66" t="n">
        <v>3</v>
      </c>
    </row>
    <row r="243">
      <c r="A243" s="7" t="inlineStr">
        <is>
          <t>2026-08-30</t>
        </is>
      </c>
      <c r="B243" s="66" t="n">
        <v>2026</v>
      </c>
      <c r="C243" s="66" t="n">
        <v>8</v>
      </c>
      <c r="D243" s="6" t="inlineStr">
        <is>
          <t>August</t>
        </is>
      </c>
      <c r="E243" s="7" t="inlineStr">
        <is>
          <t>2026-M08</t>
        </is>
      </c>
      <c r="F243" s="66" t="n">
        <v>3</v>
      </c>
    </row>
    <row r="244">
      <c r="A244" s="7" t="inlineStr">
        <is>
          <t>2026-08-31</t>
        </is>
      </c>
      <c r="B244" s="66" t="n">
        <v>2026</v>
      </c>
      <c r="C244" s="66" t="n">
        <v>8</v>
      </c>
      <c r="D244" s="6" t="inlineStr">
        <is>
          <t>August</t>
        </is>
      </c>
      <c r="E244" s="7" t="inlineStr">
        <is>
          <t>2026-M08</t>
        </is>
      </c>
      <c r="F244" s="66" t="n">
        <v>3</v>
      </c>
    </row>
    <row r="245">
      <c r="A245" s="7" t="inlineStr">
        <is>
          <t>2026-09-01</t>
        </is>
      </c>
      <c r="B245" s="66" t="n">
        <v>2026</v>
      </c>
      <c r="C245" s="66" t="n">
        <v>9</v>
      </c>
      <c r="D245" s="6" t="inlineStr">
        <is>
          <t>September</t>
        </is>
      </c>
      <c r="E245" s="7" t="inlineStr">
        <is>
          <t>2026-M09</t>
        </is>
      </c>
      <c r="F245" s="66" t="n">
        <v>3</v>
      </c>
    </row>
    <row r="246">
      <c r="A246" s="7" t="inlineStr">
        <is>
          <t>2026-09-02</t>
        </is>
      </c>
      <c r="B246" s="66" t="n">
        <v>2026</v>
      </c>
      <c r="C246" s="66" t="n">
        <v>9</v>
      </c>
      <c r="D246" s="6" t="inlineStr">
        <is>
          <t>September</t>
        </is>
      </c>
      <c r="E246" s="7" t="inlineStr">
        <is>
          <t>2026-M09</t>
        </is>
      </c>
      <c r="F246" s="66" t="n">
        <v>3</v>
      </c>
    </row>
    <row r="247">
      <c r="A247" s="7" t="inlineStr">
        <is>
          <t>2026-09-03</t>
        </is>
      </c>
      <c r="B247" s="66" t="n">
        <v>2026</v>
      </c>
      <c r="C247" s="66" t="n">
        <v>9</v>
      </c>
      <c r="D247" s="6" t="inlineStr">
        <is>
          <t>September</t>
        </is>
      </c>
      <c r="E247" s="7" t="inlineStr">
        <is>
          <t>2026-M09</t>
        </is>
      </c>
      <c r="F247" s="66" t="n">
        <v>3</v>
      </c>
    </row>
    <row r="248">
      <c r="A248" s="7" t="inlineStr">
        <is>
          <t>2026-09-04</t>
        </is>
      </c>
      <c r="B248" s="66" t="n">
        <v>2026</v>
      </c>
      <c r="C248" s="66" t="n">
        <v>9</v>
      </c>
      <c r="D248" s="6" t="inlineStr">
        <is>
          <t>September</t>
        </is>
      </c>
      <c r="E248" s="7" t="inlineStr">
        <is>
          <t>2026-M09</t>
        </is>
      </c>
      <c r="F248" s="66" t="n">
        <v>3</v>
      </c>
    </row>
    <row r="249">
      <c r="A249" s="7" t="inlineStr">
        <is>
          <t>2026-09-05</t>
        </is>
      </c>
      <c r="B249" s="66" t="n">
        <v>2026</v>
      </c>
      <c r="C249" s="66" t="n">
        <v>9</v>
      </c>
      <c r="D249" s="6" t="inlineStr">
        <is>
          <t>September</t>
        </is>
      </c>
      <c r="E249" s="7" t="inlineStr">
        <is>
          <t>2026-M09</t>
        </is>
      </c>
      <c r="F249" s="66" t="n">
        <v>3</v>
      </c>
    </row>
    <row r="250">
      <c r="A250" s="7" t="inlineStr">
        <is>
          <t>2026-09-06</t>
        </is>
      </c>
      <c r="B250" s="66" t="n">
        <v>2026</v>
      </c>
      <c r="C250" s="66" t="n">
        <v>9</v>
      </c>
      <c r="D250" s="6" t="inlineStr">
        <is>
          <t>September</t>
        </is>
      </c>
      <c r="E250" s="7" t="inlineStr">
        <is>
          <t>2026-M09</t>
        </is>
      </c>
      <c r="F250" s="66" t="n">
        <v>3</v>
      </c>
    </row>
    <row r="251">
      <c r="A251" s="7" t="inlineStr">
        <is>
          <t>2026-09-07</t>
        </is>
      </c>
      <c r="B251" s="66" t="n">
        <v>2026</v>
      </c>
      <c r="C251" s="66" t="n">
        <v>9</v>
      </c>
      <c r="D251" s="6" t="inlineStr">
        <is>
          <t>September</t>
        </is>
      </c>
      <c r="E251" s="7" t="inlineStr">
        <is>
          <t>2026-M09</t>
        </is>
      </c>
      <c r="F251" s="66" t="n">
        <v>3</v>
      </c>
    </row>
    <row r="252">
      <c r="A252" s="7" t="inlineStr">
        <is>
          <t>2026-09-08</t>
        </is>
      </c>
      <c r="B252" s="66" t="n">
        <v>2026</v>
      </c>
      <c r="C252" s="66" t="n">
        <v>9</v>
      </c>
      <c r="D252" s="6" t="inlineStr">
        <is>
          <t>September</t>
        </is>
      </c>
      <c r="E252" s="7" t="inlineStr">
        <is>
          <t>2026-M09</t>
        </is>
      </c>
      <c r="F252" s="66" t="n">
        <v>3</v>
      </c>
    </row>
    <row r="253">
      <c r="A253" s="7" t="inlineStr">
        <is>
          <t>2026-09-09</t>
        </is>
      </c>
      <c r="B253" s="66" t="n">
        <v>2026</v>
      </c>
      <c r="C253" s="66" t="n">
        <v>9</v>
      </c>
      <c r="D253" s="6" t="inlineStr">
        <is>
          <t>September</t>
        </is>
      </c>
      <c r="E253" s="7" t="inlineStr">
        <is>
          <t>2026-M09</t>
        </is>
      </c>
      <c r="F253" s="66" t="n">
        <v>3</v>
      </c>
    </row>
    <row r="254">
      <c r="A254" s="7" t="inlineStr">
        <is>
          <t>2026-09-10</t>
        </is>
      </c>
      <c r="B254" s="66" t="n">
        <v>2026</v>
      </c>
      <c r="C254" s="66" t="n">
        <v>9</v>
      </c>
      <c r="D254" s="6" t="inlineStr">
        <is>
          <t>September</t>
        </is>
      </c>
      <c r="E254" s="7" t="inlineStr">
        <is>
          <t>2026-M09</t>
        </is>
      </c>
      <c r="F254" s="66" t="n">
        <v>3</v>
      </c>
    </row>
    <row r="255">
      <c r="A255" s="7" t="inlineStr">
        <is>
          <t>2026-09-11</t>
        </is>
      </c>
      <c r="B255" s="66" t="n">
        <v>2026</v>
      </c>
      <c r="C255" s="66" t="n">
        <v>9</v>
      </c>
      <c r="D255" s="6" t="inlineStr">
        <is>
          <t>September</t>
        </is>
      </c>
      <c r="E255" s="7" t="inlineStr">
        <is>
          <t>2026-M09</t>
        </is>
      </c>
      <c r="F255" s="66" t="n">
        <v>3</v>
      </c>
    </row>
    <row r="256">
      <c r="A256" s="7" t="inlineStr">
        <is>
          <t>2026-09-12</t>
        </is>
      </c>
      <c r="B256" s="66" t="n">
        <v>2026</v>
      </c>
      <c r="C256" s="66" t="n">
        <v>9</v>
      </c>
      <c r="D256" s="6" t="inlineStr">
        <is>
          <t>September</t>
        </is>
      </c>
      <c r="E256" s="7" t="inlineStr">
        <is>
          <t>2026-M09</t>
        </is>
      </c>
      <c r="F256" s="66" t="n">
        <v>3</v>
      </c>
    </row>
    <row r="257">
      <c r="A257" s="7" t="inlineStr">
        <is>
          <t>2026-09-13</t>
        </is>
      </c>
      <c r="B257" s="66" t="n">
        <v>2026</v>
      </c>
      <c r="C257" s="66" t="n">
        <v>9</v>
      </c>
      <c r="D257" s="6" t="inlineStr">
        <is>
          <t>September</t>
        </is>
      </c>
      <c r="E257" s="7" t="inlineStr">
        <is>
          <t>2026-M09</t>
        </is>
      </c>
      <c r="F257" s="66" t="n">
        <v>3</v>
      </c>
    </row>
    <row r="258">
      <c r="A258" s="7" t="inlineStr">
        <is>
          <t>2026-09-14</t>
        </is>
      </c>
      <c r="B258" s="66" t="n">
        <v>2026</v>
      </c>
      <c r="C258" s="66" t="n">
        <v>9</v>
      </c>
      <c r="D258" s="6" t="inlineStr">
        <is>
          <t>September</t>
        </is>
      </c>
      <c r="E258" s="7" t="inlineStr">
        <is>
          <t>2026-M09</t>
        </is>
      </c>
      <c r="F258" s="66" t="n">
        <v>3</v>
      </c>
    </row>
    <row r="259">
      <c r="A259" s="7" t="inlineStr">
        <is>
          <t>2026-09-15</t>
        </is>
      </c>
      <c r="B259" s="66" t="n">
        <v>2026</v>
      </c>
      <c r="C259" s="66" t="n">
        <v>9</v>
      </c>
      <c r="D259" s="6" t="inlineStr">
        <is>
          <t>September</t>
        </is>
      </c>
      <c r="E259" s="7" t="inlineStr">
        <is>
          <t>2026-M09</t>
        </is>
      </c>
      <c r="F259" s="66" t="n">
        <v>3</v>
      </c>
    </row>
    <row r="260">
      <c r="A260" s="7" t="inlineStr">
        <is>
          <t>2026-09-16</t>
        </is>
      </c>
      <c r="B260" s="66" t="n">
        <v>2026</v>
      </c>
      <c r="C260" s="66" t="n">
        <v>9</v>
      </c>
      <c r="D260" s="6" t="inlineStr">
        <is>
          <t>September</t>
        </is>
      </c>
      <c r="E260" s="7" t="inlineStr">
        <is>
          <t>2026-M09</t>
        </is>
      </c>
      <c r="F260" s="66" t="n">
        <v>3</v>
      </c>
    </row>
    <row r="261">
      <c r="A261" s="7" t="inlineStr">
        <is>
          <t>2026-09-17</t>
        </is>
      </c>
      <c r="B261" s="66" t="n">
        <v>2026</v>
      </c>
      <c r="C261" s="66" t="n">
        <v>9</v>
      </c>
      <c r="D261" s="6" t="inlineStr">
        <is>
          <t>September</t>
        </is>
      </c>
      <c r="E261" s="7" t="inlineStr">
        <is>
          <t>2026-M09</t>
        </is>
      </c>
      <c r="F261" s="66" t="n">
        <v>3</v>
      </c>
    </row>
    <row r="262">
      <c r="A262" s="7" t="inlineStr">
        <is>
          <t>2026-09-18</t>
        </is>
      </c>
      <c r="B262" s="66" t="n">
        <v>2026</v>
      </c>
      <c r="C262" s="66" t="n">
        <v>9</v>
      </c>
      <c r="D262" s="6" t="inlineStr">
        <is>
          <t>September</t>
        </is>
      </c>
      <c r="E262" s="7" t="inlineStr">
        <is>
          <t>2026-M09</t>
        </is>
      </c>
      <c r="F262" s="66" t="n">
        <v>3</v>
      </c>
    </row>
    <row r="263">
      <c r="A263" s="7" t="inlineStr">
        <is>
          <t>2026-09-19</t>
        </is>
      </c>
      <c r="B263" s="66" t="n">
        <v>2026</v>
      </c>
      <c r="C263" s="66" t="n">
        <v>9</v>
      </c>
      <c r="D263" s="6" t="inlineStr">
        <is>
          <t>September</t>
        </is>
      </c>
      <c r="E263" s="7" t="inlineStr">
        <is>
          <t>2026-M09</t>
        </is>
      </c>
      <c r="F263" s="66" t="n">
        <v>3</v>
      </c>
    </row>
    <row r="264">
      <c r="A264" s="7" t="inlineStr">
        <is>
          <t>2026-09-20</t>
        </is>
      </c>
      <c r="B264" s="66" t="n">
        <v>2026</v>
      </c>
      <c r="C264" s="66" t="n">
        <v>9</v>
      </c>
      <c r="D264" s="6" t="inlineStr">
        <is>
          <t>September</t>
        </is>
      </c>
      <c r="E264" s="7" t="inlineStr">
        <is>
          <t>2026-M09</t>
        </is>
      </c>
      <c r="F264" s="66" t="n">
        <v>3</v>
      </c>
    </row>
    <row r="265">
      <c r="A265" s="7" t="inlineStr">
        <is>
          <t>2026-09-21</t>
        </is>
      </c>
      <c r="B265" s="66" t="n">
        <v>2026</v>
      </c>
      <c r="C265" s="66" t="n">
        <v>9</v>
      </c>
      <c r="D265" s="6" t="inlineStr">
        <is>
          <t>September</t>
        </is>
      </c>
      <c r="E265" s="7" t="inlineStr">
        <is>
          <t>2026-M09</t>
        </is>
      </c>
      <c r="F265" s="66" t="n">
        <v>3</v>
      </c>
    </row>
    <row r="266">
      <c r="A266" s="7" t="inlineStr">
        <is>
          <t>2026-09-22</t>
        </is>
      </c>
      <c r="B266" s="66" t="n">
        <v>2026</v>
      </c>
      <c r="C266" s="66" t="n">
        <v>9</v>
      </c>
      <c r="D266" s="6" t="inlineStr">
        <is>
          <t>September</t>
        </is>
      </c>
      <c r="E266" s="7" t="inlineStr">
        <is>
          <t>2026-M09</t>
        </is>
      </c>
      <c r="F266" s="66" t="n">
        <v>3</v>
      </c>
    </row>
    <row r="267">
      <c r="A267" s="7" t="inlineStr">
        <is>
          <t>2026-09-23</t>
        </is>
      </c>
      <c r="B267" s="66" t="n">
        <v>2026</v>
      </c>
      <c r="C267" s="66" t="n">
        <v>9</v>
      </c>
      <c r="D267" s="6" t="inlineStr">
        <is>
          <t>September</t>
        </is>
      </c>
      <c r="E267" s="7" t="inlineStr">
        <is>
          <t>2026-M09</t>
        </is>
      </c>
      <c r="F267" s="66" t="n">
        <v>3</v>
      </c>
    </row>
    <row r="268">
      <c r="A268" s="7" t="inlineStr">
        <is>
          <t>2026-09-24</t>
        </is>
      </c>
      <c r="B268" s="66" t="n">
        <v>2026</v>
      </c>
      <c r="C268" s="66" t="n">
        <v>9</v>
      </c>
      <c r="D268" s="6" t="inlineStr">
        <is>
          <t>September</t>
        </is>
      </c>
      <c r="E268" s="7" t="inlineStr">
        <is>
          <t>2026-M09</t>
        </is>
      </c>
      <c r="F268" s="66" t="n">
        <v>3</v>
      </c>
    </row>
    <row r="269">
      <c r="A269" s="7" t="inlineStr">
        <is>
          <t>2026-09-25</t>
        </is>
      </c>
      <c r="B269" s="66" t="n">
        <v>2026</v>
      </c>
      <c r="C269" s="66" t="n">
        <v>9</v>
      </c>
      <c r="D269" s="6" t="inlineStr">
        <is>
          <t>September</t>
        </is>
      </c>
      <c r="E269" s="7" t="inlineStr">
        <is>
          <t>2026-M09</t>
        </is>
      </c>
      <c r="F269" s="66" t="n">
        <v>3</v>
      </c>
    </row>
    <row r="270">
      <c r="A270" s="7" t="inlineStr">
        <is>
          <t>2026-09-26</t>
        </is>
      </c>
      <c r="B270" s="66" t="n">
        <v>2026</v>
      </c>
      <c r="C270" s="66" t="n">
        <v>9</v>
      </c>
      <c r="D270" s="6" t="inlineStr">
        <is>
          <t>September</t>
        </is>
      </c>
      <c r="E270" s="7" t="inlineStr">
        <is>
          <t>2026-M09</t>
        </is>
      </c>
      <c r="F270" s="66" t="n">
        <v>3</v>
      </c>
    </row>
    <row r="271">
      <c r="A271" s="7" t="inlineStr">
        <is>
          <t>2026-09-27</t>
        </is>
      </c>
      <c r="B271" s="66" t="n">
        <v>2026</v>
      </c>
      <c r="C271" s="66" t="n">
        <v>9</v>
      </c>
      <c r="D271" s="6" t="inlineStr">
        <is>
          <t>September</t>
        </is>
      </c>
      <c r="E271" s="7" t="inlineStr">
        <is>
          <t>2026-M09</t>
        </is>
      </c>
      <c r="F271" s="66" t="n">
        <v>3</v>
      </c>
    </row>
    <row r="272">
      <c r="A272" s="7" t="inlineStr">
        <is>
          <t>2026-09-28</t>
        </is>
      </c>
      <c r="B272" s="66" t="n">
        <v>2026</v>
      </c>
      <c r="C272" s="66" t="n">
        <v>9</v>
      </c>
      <c r="D272" s="6" t="inlineStr">
        <is>
          <t>September</t>
        </is>
      </c>
      <c r="E272" s="7" t="inlineStr">
        <is>
          <t>2026-M09</t>
        </is>
      </c>
      <c r="F272" s="66" t="n">
        <v>3</v>
      </c>
    </row>
    <row r="273">
      <c r="A273" s="7" t="inlineStr">
        <is>
          <t>2026-09-29</t>
        </is>
      </c>
      <c r="B273" s="66" t="n">
        <v>2026</v>
      </c>
      <c r="C273" s="66" t="n">
        <v>9</v>
      </c>
      <c r="D273" s="6" t="inlineStr">
        <is>
          <t>September</t>
        </is>
      </c>
      <c r="E273" s="7" t="inlineStr">
        <is>
          <t>2026-M09</t>
        </is>
      </c>
      <c r="F273" s="66" t="n">
        <v>3</v>
      </c>
    </row>
    <row r="274">
      <c r="A274" s="7" t="inlineStr">
        <is>
          <t>2026-09-30</t>
        </is>
      </c>
      <c r="B274" s="66" t="n">
        <v>2026</v>
      </c>
      <c r="C274" s="66" t="n">
        <v>9</v>
      </c>
      <c r="D274" s="6" t="inlineStr">
        <is>
          <t>September</t>
        </is>
      </c>
      <c r="E274" s="7" t="inlineStr">
        <is>
          <t>2026-M09</t>
        </is>
      </c>
      <c r="F274" s="66" t="n">
        <v>3</v>
      </c>
    </row>
    <row r="275">
      <c r="A275" s="7" t="inlineStr">
        <is>
          <t>2026-10-01</t>
        </is>
      </c>
      <c r="B275" s="66" t="n">
        <v>2026</v>
      </c>
      <c r="C275" s="66" t="n">
        <v>10</v>
      </c>
      <c r="D275" s="6" t="inlineStr">
        <is>
          <t>October</t>
        </is>
      </c>
      <c r="E275" s="7" t="inlineStr">
        <is>
          <t>2026-M10</t>
        </is>
      </c>
      <c r="F275" s="66" t="n">
        <v>4</v>
      </c>
    </row>
    <row r="276">
      <c r="A276" s="7" t="inlineStr">
        <is>
          <t>2026-10-02</t>
        </is>
      </c>
      <c r="B276" s="66" t="n">
        <v>2026</v>
      </c>
      <c r="C276" s="66" t="n">
        <v>10</v>
      </c>
      <c r="D276" s="6" t="inlineStr">
        <is>
          <t>October</t>
        </is>
      </c>
      <c r="E276" s="7" t="inlineStr">
        <is>
          <t>2026-M10</t>
        </is>
      </c>
      <c r="F276" s="66" t="n">
        <v>4</v>
      </c>
    </row>
    <row r="277">
      <c r="A277" s="7" t="inlineStr">
        <is>
          <t>2026-10-03</t>
        </is>
      </c>
      <c r="B277" s="66" t="n">
        <v>2026</v>
      </c>
      <c r="C277" s="66" t="n">
        <v>10</v>
      </c>
      <c r="D277" s="6" t="inlineStr">
        <is>
          <t>October</t>
        </is>
      </c>
      <c r="E277" s="7" t="inlineStr">
        <is>
          <t>2026-M10</t>
        </is>
      </c>
      <c r="F277" s="66" t="n">
        <v>4</v>
      </c>
    </row>
    <row r="278">
      <c r="A278" s="7" t="inlineStr">
        <is>
          <t>2026-10-04</t>
        </is>
      </c>
      <c r="B278" s="66" t="n">
        <v>2026</v>
      </c>
      <c r="C278" s="66" t="n">
        <v>10</v>
      </c>
      <c r="D278" s="6" t="inlineStr">
        <is>
          <t>October</t>
        </is>
      </c>
      <c r="E278" s="7" t="inlineStr">
        <is>
          <t>2026-M10</t>
        </is>
      </c>
      <c r="F278" s="66" t="n">
        <v>4</v>
      </c>
    </row>
    <row r="279">
      <c r="A279" s="7" t="inlineStr">
        <is>
          <t>2026-10-05</t>
        </is>
      </c>
      <c r="B279" s="66" t="n">
        <v>2026</v>
      </c>
      <c r="C279" s="66" t="n">
        <v>10</v>
      </c>
      <c r="D279" s="6" t="inlineStr">
        <is>
          <t>October</t>
        </is>
      </c>
      <c r="E279" s="7" t="inlineStr">
        <is>
          <t>2026-M10</t>
        </is>
      </c>
      <c r="F279" s="66" t="n">
        <v>4</v>
      </c>
    </row>
    <row r="280">
      <c r="A280" s="7" t="inlineStr">
        <is>
          <t>2026-10-06</t>
        </is>
      </c>
      <c r="B280" s="66" t="n">
        <v>2026</v>
      </c>
      <c r="C280" s="66" t="n">
        <v>10</v>
      </c>
      <c r="D280" s="6" t="inlineStr">
        <is>
          <t>October</t>
        </is>
      </c>
      <c r="E280" s="7" t="inlineStr">
        <is>
          <t>2026-M10</t>
        </is>
      </c>
      <c r="F280" s="66" t="n">
        <v>4</v>
      </c>
    </row>
    <row r="281">
      <c r="A281" s="7" t="inlineStr">
        <is>
          <t>2026-10-07</t>
        </is>
      </c>
      <c r="B281" s="66" t="n">
        <v>2026</v>
      </c>
      <c r="C281" s="66" t="n">
        <v>10</v>
      </c>
      <c r="D281" s="6" t="inlineStr">
        <is>
          <t>October</t>
        </is>
      </c>
      <c r="E281" s="7" t="inlineStr">
        <is>
          <t>2026-M10</t>
        </is>
      </c>
      <c r="F281" s="66" t="n">
        <v>4</v>
      </c>
    </row>
    <row r="282">
      <c r="A282" s="7" t="inlineStr">
        <is>
          <t>2026-10-08</t>
        </is>
      </c>
      <c r="B282" s="66" t="n">
        <v>2026</v>
      </c>
      <c r="C282" s="66" t="n">
        <v>10</v>
      </c>
      <c r="D282" s="6" t="inlineStr">
        <is>
          <t>October</t>
        </is>
      </c>
      <c r="E282" s="7" t="inlineStr">
        <is>
          <t>2026-M10</t>
        </is>
      </c>
      <c r="F282" s="66" t="n">
        <v>4</v>
      </c>
    </row>
    <row r="283">
      <c r="A283" s="7" t="inlineStr">
        <is>
          <t>2026-10-09</t>
        </is>
      </c>
      <c r="B283" s="66" t="n">
        <v>2026</v>
      </c>
      <c r="C283" s="66" t="n">
        <v>10</v>
      </c>
      <c r="D283" s="6" t="inlineStr">
        <is>
          <t>October</t>
        </is>
      </c>
      <c r="E283" s="7" t="inlineStr">
        <is>
          <t>2026-M10</t>
        </is>
      </c>
      <c r="F283" s="66" t="n">
        <v>4</v>
      </c>
    </row>
    <row r="284">
      <c r="A284" s="7" t="inlineStr">
        <is>
          <t>2026-10-10</t>
        </is>
      </c>
      <c r="B284" s="66" t="n">
        <v>2026</v>
      </c>
      <c r="C284" s="66" t="n">
        <v>10</v>
      </c>
      <c r="D284" s="6" t="inlineStr">
        <is>
          <t>October</t>
        </is>
      </c>
      <c r="E284" s="7" t="inlineStr">
        <is>
          <t>2026-M10</t>
        </is>
      </c>
      <c r="F284" s="66" t="n">
        <v>4</v>
      </c>
    </row>
    <row r="285">
      <c r="A285" s="7" t="inlineStr">
        <is>
          <t>2026-10-11</t>
        </is>
      </c>
      <c r="B285" s="66" t="n">
        <v>2026</v>
      </c>
      <c r="C285" s="66" t="n">
        <v>10</v>
      </c>
      <c r="D285" s="6" t="inlineStr">
        <is>
          <t>October</t>
        </is>
      </c>
      <c r="E285" s="7" t="inlineStr">
        <is>
          <t>2026-M10</t>
        </is>
      </c>
      <c r="F285" s="66" t="n">
        <v>4</v>
      </c>
    </row>
    <row r="286">
      <c r="A286" s="7" t="inlineStr">
        <is>
          <t>2026-10-12</t>
        </is>
      </c>
      <c r="B286" s="66" t="n">
        <v>2026</v>
      </c>
      <c r="C286" s="66" t="n">
        <v>10</v>
      </c>
      <c r="D286" s="6" t="inlineStr">
        <is>
          <t>October</t>
        </is>
      </c>
      <c r="E286" s="7" t="inlineStr">
        <is>
          <t>2026-M10</t>
        </is>
      </c>
      <c r="F286" s="66" t="n">
        <v>4</v>
      </c>
    </row>
    <row r="287">
      <c r="A287" s="7" t="inlineStr">
        <is>
          <t>2026-10-13</t>
        </is>
      </c>
      <c r="B287" s="66" t="n">
        <v>2026</v>
      </c>
      <c r="C287" s="66" t="n">
        <v>10</v>
      </c>
      <c r="D287" s="6" t="inlineStr">
        <is>
          <t>October</t>
        </is>
      </c>
      <c r="E287" s="7" t="inlineStr">
        <is>
          <t>2026-M10</t>
        </is>
      </c>
      <c r="F287" s="66" t="n">
        <v>4</v>
      </c>
    </row>
    <row r="288">
      <c r="A288" s="7" t="inlineStr">
        <is>
          <t>2026-10-14</t>
        </is>
      </c>
      <c r="B288" s="66" t="n">
        <v>2026</v>
      </c>
      <c r="C288" s="66" t="n">
        <v>10</v>
      </c>
      <c r="D288" s="6" t="inlineStr">
        <is>
          <t>October</t>
        </is>
      </c>
      <c r="E288" s="7" t="inlineStr">
        <is>
          <t>2026-M10</t>
        </is>
      </c>
      <c r="F288" s="66" t="n">
        <v>4</v>
      </c>
    </row>
    <row r="289">
      <c r="A289" s="7" t="inlineStr">
        <is>
          <t>2026-10-15</t>
        </is>
      </c>
      <c r="B289" s="66" t="n">
        <v>2026</v>
      </c>
      <c r="C289" s="66" t="n">
        <v>10</v>
      </c>
      <c r="D289" s="6" t="inlineStr">
        <is>
          <t>October</t>
        </is>
      </c>
      <c r="E289" s="7" t="inlineStr">
        <is>
          <t>2026-M10</t>
        </is>
      </c>
      <c r="F289" s="66" t="n">
        <v>4</v>
      </c>
    </row>
    <row r="290">
      <c r="A290" s="7" t="inlineStr">
        <is>
          <t>2026-10-16</t>
        </is>
      </c>
      <c r="B290" s="66" t="n">
        <v>2026</v>
      </c>
      <c r="C290" s="66" t="n">
        <v>10</v>
      </c>
      <c r="D290" s="6" t="inlineStr">
        <is>
          <t>October</t>
        </is>
      </c>
      <c r="E290" s="7" t="inlineStr">
        <is>
          <t>2026-M10</t>
        </is>
      </c>
      <c r="F290" s="66" t="n">
        <v>4</v>
      </c>
    </row>
    <row r="291">
      <c r="A291" s="7" t="inlineStr">
        <is>
          <t>2026-10-17</t>
        </is>
      </c>
      <c r="B291" s="66" t="n">
        <v>2026</v>
      </c>
      <c r="C291" s="66" t="n">
        <v>10</v>
      </c>
      <c r="D291" s="6" t="inlineStr">
        <is>
          <t>October</t>
        </is>
      </c>
      <c r="E291" s="7" t="inlineStr">
        <is>
          <t>2026-M10</t>
        </is>
      </c>
      <c r="F291" s="66" t="n">
        <v>4</v>
      </c>
    </row>
    <row r="292">
      <c r="A292" s="7" t="inlineStr">
        <is>
          <t>2026-10-18</t>
        </is>
      </c>
      <c r="B292" s="66" t="n">
        <v>2026</v>
      </c>
      <c r="C292" s="66" t="n">
        <v>10</v>
      </c>
      <c r="D292" s="6" t="inlineStr">
        <is>
          <t>October</t>
        </is>
      </c>
      <c r="E292" s="7" t="inlineStr">
        <is>
          <t>2026-M10</t>
        </is>
      </c>
      <c r="F292" s="66" t="n">
        <v>4</v>
      </c>
    </row>
    <row r="293">
      <c r="A293" s="7" t="inlineStr">
        <is>
          <t>2026-10-19</t>
        </is>
      </c>
      <c r="B293" s="66" t="n">
        <v>2026</v>
      </c>
      <c r="C293" s="66" t="n">
        <v>10</v>
      </c>
      <c r="D293" s="6" t="inlineStr">
        <is>
          <t>October</t>
        </is>
      </c>
      <c r="E293" s="7" t="inlineStr">
        <is>
          <t>2026-M10</t>
        </is>
      </c>
      <c r="F293" s="66" t="n">
        <v>4</v>
      </c>
    </row>
    <row r="294">
      <c r="A294" s="7" t="inlineStr">
        <is>
          <t>2026-10-20</t>
        </is>
      </c>
      <c r="B294" s="66" t="n">
        <v>2026</v>
      </c>
      <c r="C294" s="66" t="n">
        <v>10</v>
      </c>
      <c r="D294" s="6" t="inlineStr">
        <is>
          <t>October</t>
        </is>
      </c>
      <c r="E294" s="7" t="inlineStr">
        <is>
          <t>2026-M10</t>
        </is>
      </c>
      <c r="F294" s="66" t="n">
        <v>4</v>
      </c>
    </row>
    <row r="295">
      <c r="A295" s="7" t="inlineStr">
        <is>
          <t>2026-10-21</t>
        </is>
      </c>
      <c r="B295" s="66" t="n">
        <v>2026</v>
      </c>
      <c r="C295" s="66" t="n">
        <v>10</v>
      </c>
      <c r="D295" s="6" t="inlineStr">
        <is>
          <t>October</t>
        </is>
      </c>
      <c r="E295" s="7" t="inlineStr">
        <is>
          <t>2026-M10</t>
        </is>
      </c>
      <c r="F295" s="66" t="n">
        <v>4</v>
      </c>
    </row>
    <row r="296">
      <c r="A296" s="7" t="inlineStr">
        <is>
          <t>2026-10-22</t>
        </is>
      </c>
      <c r="B296" s="66" t="n">
        <v>2026</v>
      </c>
      <c r="C296" s="66" t="n">
        <v>10</v>
      </c>
      <c r="D296" s="6" t="inlineStr">
        <is>
          <t>October</t>
        </is>
      </c>
      <c r="E296" s="7" t="inlineStr">
        <is>
          <t>2026-M10</t>
        </is>
      </c>
      <c r="F296" s="66" t="n">
        <v>4</v>
      </c>
    </row>
    <row r="297">
      <c r="A297" s="7" t="inlineStr">
        <is>
          <t>2026-10-23</t>
        </is>
      </c>
      <c r="B297" s="66" t="n">
        <v>2026</v>
      </c>
      <c r="C297" s="66" t="n">
        <v>10</v>
      </c>
      <c r="D297" s="6" t="inlineStr">
        <is>
          <t>October</t>
        </is>
      </c>
      <c r="E297" s="7" t="inlineStr">
        <is>
          <t>2026-M10</t>
        </is>
      </c>
      <c r="F297" s="66" t="n">
        <v>4</v>
      </c>
    </row>
    <row r="298">
      <c r="A298" s="7" t="inlineStr">
        <is>
          <t>2026-10-24</t>
        </is>
      </c>
      <c r="B298" s="66" t="n">
        <v>2026</v>
      </c>
      <c r="C298" s="66" t="n">
        <v>10</v>
      </c>
      <c r="D298" s="6" t="inlineStr">
        <is>
          <t>October</t>
        </is>
      </c>
      <c r="E298" s="7" t="inlineStr">
        <is>
          <t>2026-M10</t>
        </is>
      </c>
      <c r="F298" s="66" t="n">
        <v>4</v>
      </c>
    </row>
    <row r="299">
      <c r="A299" s="7" t="inlineStr">
        <is>
          <t>2026-10-25</t>
        </is>
      </c>
      <c r="B299" s="66" t="n">
        <v>2026</v>
      </c>
      <c r="C299" s="66" t="n">
        <v>10</v>
      </c>
      <c r="D299" s="6" t="inlineStr">
        <is>
          <t>October</t>
        </is>
      </c>
      <c r="E299" s="7" t="inlineStr">
        <is>
          <t>2026-M10</t>
        </is>
      </c>
      <c r="F299" s="66" t="n">
        <v>4</v>
      </c>
    </row>
    <row r="300">
      <c r="A300" s="7" t="inlineStr">
        <is>
          <t>2026-10-26</t>
        </is>
      </c>
      <c r="B300" s="66" t="n">
        <v>2026</v>
      </c>
      <c r="C300" s="66" t="n">
        <v>10</v>
      </c>
      <c r="D300" s="6" t="inlineStr">
        <is>
          <t>October</t>
        </is>
      </c>
      <c r="E300" s="7" t="inlineStr">
        <is>
          <t>2026-M10</t>
        </is>
      </c>
      <c r="F300" s="66" t="n">
        <v>4</v>
      </c>
    </row>
    <row r="301">
      <c r="A301" s="7" t="inlineStr">
        <is>
          <t>2026-10-27</t>
        </is>
      </c>
      <c r="B301" s="66" t="n">
        <v>2026</v>
      </c>
      <c r="C301" s="66" t="n">
        <v>10</v>
      </c>
      <c r="D301" s="6" t="inlineStr">
        <is>
          <t>October</t>
        </is>
      </c>
      <c r="E301" s="7" t="inlineStr">
        <is>
          <t>2026-M10</t>
        </is>
      </c>
      <c r="F301" s="66" t="n">
        <v>4</v>
      </c>
    </row>
    <row r="302">
      <c r="A302" s="7" t="inlineStr">
        <is>
          <t>2026-10-28</t>
        </is>
      </c>
      <c r="B302" s="66" t="n">
        <v>2026</v>
      </c>
      <c r="C302" s="66" t="n">
        <v>10</v>
      </c>
      <c r="D302" s="6" t="inlineStr">
        <is>
          <t>October</t>
        </is>
      </c>
      <c r="E302" s="7" t="inlineStr">
        <is>
          <t>2026-M10</t>
        </is>
      </c>
      <c r="F302" s="66" t="n">
        <v>4</v>
      </c>
    </row>
    <row r="303">
      <c r="A303" s="7" t="inlineStr">
        <is>
          <t>2026-10-29</t>
        </is>
      </c>
      <c r="B303" s="66" t="n">
        <v>2026</v>
      </c>
      <c r="C303" s="66" t="n">
        <v>10</v>
      </c>
      <c r="D303" s="6" t="inlineStr">
        <is>
          <t>October</t>
        </is>
      </c>
      <c r="E303" s="7" t="inlineStr">
        <is>
          <t>2026-M10</t>
        </is>
      </c>
      <c r="F303" s="66" t="n">
        <v>4</v>
      </c>
    </row>
    <row r="304">
      <c r="A304" s="7" t="inlineStr">
        <is>
          <t>2026-10-30</t>
        </is>
      </c>
      <c r="B304" s="66" t="n">
        <v>2026</v>
      </c>
      <c r="C304" s="66" t="n">
        <v>10</v>
      </c>
      <c r="D304" s="6" t="inlineStr">
        <is>
          <t>October</t>
        </is>
      </c>
      <c r="E304" s="7" t="inlineStr">
        <is>
          <t>2026-M10</t>
        </is>
      </c>
      <c r="F304" s="66" t="n">
        <v>4</v>
      </c>
    </row>
    <row r="305">
      <c r="A305" s="7" t="inlineStr">
        <is>
          <t>2026-10-31</t>
        </is>
      </c>
      <c r="B305" s="66" t="n">
        <v>2026</v>
      </c>
      <c r="C305" s="66" t="n">
        <v>10</v>
      </c>
      <c r="D305" s="6" t="inlineStr">
        <is>
          <t>October</t>
        </is>
      </c>
      <c r="E305" s="7" t="inlineStr">
        <is>
          <t>2026-M10</t>
        </is>
      </c>
      <c r="F305" s="66" t="n">
        <v>4</v>
      </c>
    </row>
    <row r="306">
      <c r="A306" s="7" t="inlineStr">
        <is>
          <t>2026-11-01</t>
        </is>
      </c>
      <c r="B306" s="66" t="n">
        <v>2026</v>
      </c>
      <c r="C306" s="66" t="n">
        <v>11</v>
      </c>
      <c r="D306" s="6" t="inlineStr">
        <is>
          <t>November</t>
        </is>
      </c>
      <c r="E306" s="7" t="inlineStr">
        <is>
          <t>2026-M11</t>
        </is>
      </c>
      <c r="F306" s="66" t="n">
        <v>4</v>
      </c>
    </row>
    <row r="307">
      <c r="A307" s="7" t="inlineStr">
        <is>
          <t>2026-11-02</t>
        </is>
      </c>
      <c r="B307" s="66" t="n">
        <v>2026</v>
      </c>
      <c r="C307" s="66" t="n">
        <v>11</v>
      </c>
      <c r="D307" s="6" t="inlineStr">
        <is>
          <t>November</t>
        </is>
      </c>
      <c r="E307" s="7" t="inlineStr">
        <is>
          <t>2026-M11</t>
        </is>
      </c>
      <c r="F307" s="66" t="n">
        <v>4</v>
      </c>
    </row>
    <row r="308">
      <c r="A308" s="7" t="inlineStr">
        <is>
          <t>2026-11-03</t>
        </is>
      </c>
      <c r="B308" s="66" t="n">
        <v>2026</v>
      </c>
      <c r="C308" s="66" t="n">
        <v>11</v>
      </c>
      <c r="D308" s="6" t="inlineStr">
        <is>
          <t>November</t>
        </is>
      </c>
      <c r="E308" s="7" t="inlineStr">
        <is>
          <t>2026-M11</t>
        </is>
      </c>
      <c r="F308" s="66" t="n">
        <v>4</v>
      </c>
    </row>
    <row r="309">
      <c r="A309" s="7" t="inlineStr">
        <is>
          <t>2026-11-04</t>
        </is>
      </c>
      <c r="B309" s="66" t="n">
        <v>2026</v>
      </c>
      <c r="C309" s="66" t="n">
        <v>11</v>
      </c>
      <c r="D309" s="6" t="inlineStr">
        <is>
          <t>November</t>
        </is>
      </c>
      <c r="E309" s="7" t="inlineStr">
        <is>
          <t>2026-M11</t>
        </is>
      </c>
      <c r="F309" s="66" t="n">
        <v>4</v>
      </c>
    </row>
    <row r="310">
      <c r="A310" s="7" t="inlineStr">
        <is>
          <t>2026-11-05</t>
        </is>
      </c>
      <c r="B310" s="66" t="n">
        <v>2026</v>
      </c>
      <c r="C310" s="66" t="n">
        <v>11</v>
      </c>
      <c r="D310" s="6" t="inlineStr">
        <is>
          <t>November</t>
        </is>
      </c>
      <c r="E310" s="7" t="inlineStr">
        <is>
          <t>2026-M11</t>
        </is>
      </c>
      <c r="F310" s="66" t="n">
        <v>4</v>
      </c>
    </row>
    <row r="311">
      <c r="A311" s="7" t="inlineStr">
        <is>
          <t>2026-11-06</t>
        </is>
      </c>
      <c r="B311" s="66" t="n">
        <v>2026</v>
      </c>
      <c r="C311" s="66" t="n">
        <v>11</v>
      </c>
      <c r="D311" s="6" t="inlineStr">
        <is>
          <t>November</t>
        </is>
      </c>
      <c r="E311" s="7" t="inlineStr">
        <is>
          <t>2026-M11</t>
        </is>
      </c>
      <c r="F311" s="66" t="n">
        <v>4</v>
      </c>
    </row>
    <row r="312">
      <c r="A312" s="7" t="inlineStr">
        <is>
          <t>2026-11-07</t>
        </is>
      </c>
      <c r="B312" s="66" t="n">
        <v>2026</v>
      </c>
      <c r="C312" s="66" t="n">
        <v>11</v>
      </c>
      <c r="D312" s="6" t="inlineStr">
        <is>
          <t>November</t>
        </is>
      </c>
      <c r="E312" s="7" t="inlineStr">
        <is>
          <t>2026-M11</t>
        </is>
      </c>
      <c r="F312" s="66" t="n">
        <v>4</v>
      </c>
    </row>
    <row r="313">
      <c r="A313" s="7" t="inlineStr">
        <is>
          <t>2026-11-08</t>
        </is>
      </c>
      <c r="B313" s="66" t="n">
        <v>2026</v>
      </c>
      <c r="C313" s="66" t="n">
        <v>11</v>
      </c>
      <c r="D313" s="6" t="inlineStr">
        <is>
          <t>November</t>
        </is>
      </c>
      <c r="E313" s="7" t="inlineStr">
        <is>
          <t>2026-M11</t>
        </is>
      </c>
      <c r="F313" s="66" t="n">
        <v>4</v>
      </c>
    </row>
    <row r="314">
      <c r="A314" s="7" t="inlineStr">
        <is>
          <t>2026-11-09</t>
        </is>
      </c>
      <c r="B314" s="66" t="n">
        <v>2026</v>
      </c>
      <c r="C314" s="66" t="n">
        <v>11</v>
      </c>
      <c r="D314" s="6" t="inlineStr">
        <is>
          <t>November</t>
        </is>
      </c>
      <c r="E314" s="7" t="inlineStr">
        <is>
          <t>2026-M11</t>
        </is>
      </c>
      <c r="F314" s="66" t="n">
        <v>4</v>
      </c>
    </row>
    <row r="315">
      <c r="A315" s="7" t="inlineStr">
        <is>
          <t>2026-11-10</t>
        </is>
      </c>
      <c r="B315" s="66" t="n">
        <v>2026</v>
      </c>
      <c r="C315" s="66" t="n">
        <v>11</v>
      </c>
      <c r="D315" s="6" t="inlineStr">
        <is>
          <t>November</t>
        </is>
      </c>
      <c r="E315" s="7" t="inlineStr">
        <is>
          <t>2026-M11</t>
        </is>
      </c>
      <c r="F315" s="66" t="n">
        <v>4</v>
      </c>
    </row>
    <row r="316">
      <c r="A316" s="7" t="inlineStr">
        <is>
          <t>2026-11-11</t>
        </is>
      </c>
      <c r="B316" s="66" t="n">
        <v>2026</v>
      </c>
      <c r="C316" s="66" t="n">
        <v>11</v>
      </c>
      <c r="D316" s="6" t="inlineStr">
        <is>
          <t>November</t>
        </is>
      </c>
      <c r="E316" s="7" t="inlineStr">
        <is>
          <t>2026-M11</t>
        </is>
      </c>
      <c r="F316" s="66" t="n">
        <v>4</v>
      </c>
    </row>
    <row r="317">
      <c r="A317" s="7" t="inlineStr">
        <is>
          <t>2026-11-12</t>
        </is>
      </c>
      <c r="B317" s="66" t="n">
        <v>2026</v>
      </c>
      <c r="C317" s="66" t="n">
        <v>11</v>
      </c>
      <c r="D317" s="6" t="inlineStr">
        <is>
          <t>November</t>
        </is>
      </c>
      <c r="E317" s="7" t="inlineStr">
        <is>
          <t>2026-M11</t>
        </is>
      </c>
      <c r="F317" s="66" t="n">
        <v>4</v>
      </c>
    </row>
    <row r="318">
      <c r="A318" s="7" t="inlineStr">
        <is>
          <t>2026-11-13</t>
        </is>
      </c>
      <c r="B318" s="66" t="n">
        <v>2026</v>
      </c>
      <c r="C318" s="66" t="n">
        <v>11</v>
      </c>
      <c r="D318" s="6" t="inlineStr">
        <is>
          <t>November</t>
        </is>
      </c>
      <c r="E318" s="7" t="inlineStr">
        <is>
          <t>2026-M11</t>
        </is>
      </c>
      <c r="F318" s="66" t="n">
        <v>4</v>
      </c>
    </row>
    <row r="319">
      <c r="A319" s="7" t="inlineStr">
        <is>
          <t>2026-11-14</t>
        </is>
      </c>
      <c r="B319" s="66" t="n">
        <v>2026</v>
      </c>
      <c r="C319" s="66" t="n">
        <v>11</v>
      </c>
      <c r="D319" s="6" t="inlineStr">
        <is>
          <t>November</t>
        </is>
      </c>
      <c r="E319" s="7" t="inlineStr">
        <is>
          <t>2026-M11</t>
        </is>
      </c>
      <c r="F319" s="66" t="n">
        <v>4</v>
      </c>
    </row>
    <row r="320">
      <c r="A320" s="7" t="inlineStr">
        <is>
          <t>2026-11-15</t>
        </is>
      </c>
      <c r="B320" s="66" t="n">
        <v>2026</v>
      </c>
      <c r="C320" s="66" t="n">
        <v>11</v>
      </c>
      <c r="D320" s="6" t="inlineStr">
        <is>
          <t>November</t>
        </is>
      </c>
      <c r="E320" s="7" t="inlineStr">
        <is>
          <t>2026-M11</t>
        </is>
      </c>
      <c r="F320" s="66" t="n">
        <v>4</v>
      </c>
    </row>
    <row r="321">
      <c r="A321" s="7" t="inlineStr">
        <is>
          <t>2026-11-16</t>
        </is>
      </c>
      <c r="B321" s="66" t="n">
        <v>2026</v>
      </c>
      <c r="C321" s="66" t="n">
        <v>11</v>
      </c>
      <c r="D321" s="6" t="inlineStr">
        <is>
          <t>November</t>
        </is>
      </c>
      <c r="E321" s="7" t="inlineStr">
        <is>
          <t>2026-M11</t>
        </is>
      </c>
      <c r="F321" s="66" t="n">
        <v>4</v>
      </c>
    </row>
    <row r="322">
      <c r="A322" s="7" t="inlineStr">
        <is>
          <t>2026-11-17</t>
        </is>
      </c>
      <c r="B322" s="66" t="n">
        <v>2026</v>
      </c>
      <c r="C322" s="66" t="n">
        <v>11</v>
      </c>
      <c r="D322" s="6" t="inlineStr">
        <is>
          <t>November</t>
        </is>
      </c>
      <c r="E322" s="7" t="inlineStr">
        <is>
          <t>2026-M11</t>
        </is>
      </c>
      <c r="F322" s="66" t="n">
        <v>4</v>
      </c>
    </row>
    <row r="323">
      <c r="A323" s="7" t="inlineStr">
        <is>
          <t>2026-11-18</t>
        </is>
      </c>
      <c r="B323" s="66" t="n">
        <v>2026</v>
      </c>
      <c r="C323" s="66" t="n">
        <v>11</v>
      </c>
      <c r="D323" s="6" t="inlineStr">
        <is>
          <t>November</t>
        </is>
      </c>
      <c r="E323" s="7" t="inlineStr">
        <is>
          <t>2026-M11</t>
        </is>
      </c>
      <c r="F323" s="66" t="n">
        <v>4</v>
      </c>
    </row>
    <row r="324">
      <c r="A324" s="7" t="inlineStr">
        <is>
          <t>2026-11-19</t>
        </is>
      </c>
      <c r="B324" s="66" t="n">
        <v>2026</v>
      </c>
      <c r="C324" s="66" t="n">
        <v>11</v>
      </c>
      <c r="D324" s="6" t="inlineStr">
        <is>
          <t>November</t>
        </is>
      </c>
      <c r="E324" s="7" t="inlineStr">
        <is>
          <t>2026-M11</t>
        </is>
      </c>
      <c r="F324" s="66" t="n">
        <v>4</v>
      </c>
    </row>
    <row r="325">
      <c r="A325" s="7" t="inlineStr">
        <is>
          <t>2026-11-20</t>
        </is>
      </c>
      <c r="B325" s="66" t="n">
        <v>2026</v>
      </c>
      <c r="C325" s="66" t="n">
        <v>11</v>
      </c>
      <c r="D325" s="6" t="inlineStr">
        <is>
          <t>November</t>
        </is>
      </c>
      <c r="E325" s="7" t="inlineStr">
        <is>
          <t>2026-M11</t>
        </is>
      </c>
      <c r="F325" s="66" t="n">
        <v>4</v>
      </c>
    </row>
    <row r="326">
      <c r="A326" s="7" t="inlineStr">
        <is>
          <t>2026-11-21</t>
        </is>
      </c>
      <c r="B326" s="66" t="n">
        <v>2026</v>
      </c>
      <c r="C326" s="66" t="n">
        <v>11</v>
      </c>
      <c r="D326" s="6" t="inlineStr">
        <is>
          <t>November</t>
        </is>
      </c>
      <c r="E326" s="7" t="inlineStr">
        <is>
          <t>2026-M11</t>
        </is>
      </c>
      <c r="F326" s="66" t="n">
        <v>4</v>
      </c>
    </row>
    <row r="327">
      <c r="A327" s="7" t="inlineStr">
        <is>
          <t>2026-11-22</t>
        </is>
      </c>
      <c r="B327" s="66" t="n">
        <v>2026</v>
      </c>
      <c r="C327" s="66" t="n">
        <v>11</v>
      </c>
      <c r="D327" s="6" t="inlineStr">
        <is>
          <t>November</t>
        </is>
      </c>
      <c r="E327" s="7" t="inlineStr">
        <is>
          <t>2026-M11</t>
        </is>
      </c>
      <c r="F327" s="66" t="n">
        <v>4</v>
      </c>
    </row>
    <row r="328">
      <c r="A328" s="7" t="inlineStr">
        <is>
          <t>2026-11-23</t>
        </is>
      </c>
      <c r="B328" s="66" t="n">
        <v>2026</v>
      </c>
      <c r="C328" s="66" t="n">
        <v>11</v>
      </c>
      <c r="D328" s="6" t="inlineStr">
        <is>
          <t>November</t>
        </is>
      </c>
      <c r="E328" s="7" t="inlineStr">
        <is>
          <t>2026-M11</t>
        </is>
      </c>
      <c r="F328" s="66" t="n">
        <v>4</v>
      </c>
    </row>
    <row r="329">
      <c r="A329" s="7" t="inlineStr">
        <is>
          <t>2026-11-24</t>
        </is>
      </c>
      <c r="B329" s="66" t="n">
        <v>2026</v>
      </c>
      <c r="C329" s="66" t="n">
        <v>11</v>
      </c>
      <c r="D329" s="6" t="inlineStr">
        <is>
          <t>November</t>
        </is>
      </c>
      <c r="E329" s="7" t="inlineStr">
        <is>
          <t>2026-M11</t>
        </is>
      </c>
      <c r="F329" s="66" t="n">
        <v>4</v>
      </c>
    </row>
    <row r="330">
      <c r="A330" s="7" t="inlineStr">
        <is>
          <t>2026-11-25</t>
        </is>
      </c>
      <c r="B330" s="66" t="n">
        <v>2026</v>
      </c>
      <c r="C330" s="66" t="n">
        <v>11</v>
      </c>
      <c r="D330" s="6" t="inlineStr">
        <is>
          <t>November</t>
        </is>
      </c>
      <c r="E330" s="7" t="inlineStr">
        <is>
          <t>2026-M11</t>
        </is>
      </c>
      <c r="F330" s="66" t="n">
        <v>4</v>
      </c>
    </row>
    <row r="331">
      <c r="A331" s="7" t="inlineStr">
        <is>
          <t>2026-11-26</t>
        </is>
      </c>
      <c r="B331" s="66" t="n">
        <v>2026</v>
      </c>
      <c r="C331" s="66" t="n">
        <v>11</v>
      </c>
      <c r="D331" s="6" t="inlineStr">
        <is>
          <t>November</t>
        </is>
      </c>
      <c r="E331" s="7" t="inlineStr">
        <is>
          <t>2026-M11</t>
        </is>
      </c>
      <c r="F331" s="66" t="n">
        <v>4</v>
      </c>
    </row>
    <row r="332">
      <c r="A332" s="7" t="inlineStr">
        <is>
          <t>2026-11-27</t>
        </is>
      </c>
      <c r="B332" s="66" t="n">
        <v>2026</v>
      </c>
      <c r="C332" s="66" t="n">
        <v>11</v>
      </c>
      <c r="D332" s="6" t="inlineStr">
        <is>
          <t>November</t>
        </is>
      </c>
      <c r="E332" s="7" t="inlineStr">
        <is>
          <t>2026-M11</t>
        </is>
      </c>
      <c r="F332" s="66" t="n">
        <v>4</v>
      </c>
    </row>
    <row r="333">
      <c r="A333" s="7" t="inlineStr">
        <is>
          <t>2026-11-28</t>
        </is>
      </c>
      <c r="B333" s="66" t="n">
        <v>2026</v>
      </c>
      <c r="C333" s="66" t="n">
        <v>11</v>
      </c>
      <c r="D333" s="6" t="inlineStr">
        <is>
          <t>November</t>
        </is>
      </c>
      <c r="E333" s="7" t="inlineStr">
        <is>
          <t>2026-M11</t>
        </is>
      </c>
      <c r="F333" s="66" t="n">
        <v>4</v>
      </c>
    </row>
    <row r="334">
      <c r="A334" s="7" t="inlineStr">
        <is>
          <t>2026-11-29</t>
        </is>
      </c>
      <c r="B334" s="66" t="n">
        <v>2026</v>
      </c>
      <c r="C334" s="66" t="n">
        <v>11</v>
      </c>
      <c r="D334" s="6" t="inlineStr">
        <is>
          <t>November</t>
        </is>
      </c>
      <c r="E334" s="7" t="inlineStr">
        <is>
          <t>2026-M11</t>
        </is>
      </c>
      <c r="F334" s="66" t="n">
        <v>4</v>
      </c>
    </row>
    <row r="335">
      <c r="A335" s="7" t="inlineStr">
        <is>
          <t>2026-11-30</t>
        </is>
      </c>
      <c r="B335" s="66" t="n">
        <v>2026</v>
      </c>
      <c r="C335" s="66" t="n">
        <v>11</v>
      </c>
      <c r="D335" s="6" t="inlineStr">
        <is>
          <t>November</t>
        </is>
      </c>
      <c r="E335" s="7" t="inlineStr">
        <is>
          <t>2026-M11</t>
        </is>
      </c>
      <c r="F335" s="66" t="n">
        <v>4</v>
      </c>
    </row>
    <row r="336">
      <c r="A336" s="7" t="inlineStr">
        <is>
          <t>2026-12-01</t>
        </is>
      </c>
      <c r="B336" s="66" t="n">
        <v>2026</v>
      </c>
      <c r="C336" s="66" t="n">
        <v>12</v>
      </c>
      <c r="D336" s="6" t="inlineStr">
        <is>
          <t>December</t>
        </is>
      </c>
      <c r="E336" s="7" t="inlineStr">
        <is>
          <t>2026-M12</t>
        </is>
      </c>
      <c r="F336" s="66" t="n">
        <v>4</v>
      </c>
    </row>
    <row r="337">
      <c r="A337" s="7" t="inlineStr">
        <is>
          <t>2026-12-02</t>
        </is>
      </c>
      <c r="B337" s="66" t="n">
        <v>2026</v>
      </c>
      <c r="C337" s="66" t="n">
        <v>12</v>
      </c>
      <c r="D337" s="6" t="inlineStr">
        <is>
          <t>December</t>
        </is>
      </c>
      <c r="E337" s="7" t="inlineStr">
        <is>
          <t>2026-M12</t>
        </is>
      </c>
      <c r="F337" s="66" t="n">
        <v>4</v>
      </c>
    </row>
    <row r="338">
      <c r="A338" s="7" t="inlineStr">
        <is>
          <t>2026-12-03</t>
        </is>
      </c>
      <c r="B338" s="66" t="n">
        <v>2026</v>
      </c>
      <c r="C338" s="66" t="n">
        <v>12</v>
      </c>
      <c r="D338" s="6" t="inlineStr">
        <is>
          <t>December</t>
        </is>
      </c>
      <c r="E338" s="7" t="inlineStr">
        <is>
          <t>2026-M12</t>
        </is>
      </c>
      <c r="F338" s="66" t="n">
        <v>4</v>
      </c>
    </row>
    <row r="339">
      <c r="A339" s="7" t="inlineStr">
        <is>
          <t>2026-12-04</t>
        </is>
      </c>
      <c r="B339" s="66" t="n">
        <v>2026</v>
      </c>
      <c r="C339" s="66" t="n">
        <v>12</v>
      </c>
      <c r="D339" s="6" t="inlineStr">
        <is>
          <t>December</t>
        </is>
      </c>
      <c r="E339" s="7" t="inlineStr">
        <is>
          <t>2026-M12</t>
        </is>
      </c>
      <c r="F339" s="66" t="n">
        <v>4</v>
      </c>
    </row>
    <row r="340">
      <c r="A340" s="7" t="inlineStr">
        <is>
          <t>2026-12-05</t>
        </is>
      </c>
      <c r="B340" s="66" t="n">
        <v>2026</v>
      </c>
      <c r="C340" s="66" t="n">
        <v>12</v>
      </c>
      <c r="D340" s="6" t="inlineStr">
        <is>
          <t>December</t>
        </is>
      </c>
      <c r="E340" s="7" t="inlineStr">
        <is>
          <t>2026-M12</t>
        </is>
      </c>
      <c r="F340" s="66" t="n">
        <v>4</v>
      </c>
    </row>
    <row r="341">
      <c r="A341" s="7" t="inlineStr">
        <is>
          <t>2026-12-06</t>
        </is>
      </c>
      <c r="B341" s="66" t="n">
        <v>2026</v>
      </c>
      <c r="C341" s="66" t="n">
        <v>12</v>
      </c>
      <c r="D341" s="6" t="inlineStr">
        <is>
          <t>December</t>
        </is>
      </c>
      <c r="E341" s="7" t="inlineStr">
        <is>
          <t>2026-M12</t>
        </is>
      </c>
      <c r="F341" s="66" t="n">
        <v>4</v>
      </c>
    </row>
    <row r="342">
      <c r="A342" s="7" t="inlineStr">
        <is>
          <t>2026-12-07</t>
        </is>
      </c>
      <c r="B342" s="66" t="n">
        <v>2026</v>
      </c>
      <c r="C342" s="66" t="n">
        <v>12</v>
      </c>
      <c r="D342" s="6" t="inlineStr">
        <is>
          <t>December</t>
        </is>
      </c>
      <c r="E342" s="7" t="inlineStr">
        <is>
          <t>2026-M12</t>
        </is>
      </c>
      <c r="F342" s="66" t="n">
        <v>4</v>
      </c>
    </row>
    <row r="343">
      <c r="A343" s="7" t="inlineStr">
        <is>
          <t>2026-12-08</t>
        </is>
      </c>
      <c r="B343" s="66" t="n">
        <v>2026</v>
      </c>
      <c r="C343" s="66" t="n">
        <v>12</v>
      </c>
      <c r="D343" s="6" t="inlineStr">
        <is>
          <t>December</t>
        </is>
      </c>
      <c r="E343" s="7" t="inlineStr">
        <is>
          <t>2026-M12</t>
        </is>
      </c>
      <c r="F343" s="66" t="n">
        <v>4</v>
      </c>
    </row>
    <row r="344">
      <c r="A344" s="7" t="inlineStr">
        <is>
          <t>2026-12-09</t>
        </is>
      </c>
      <c r="B344" s="66" t="n">
        <v>2026</v>
      </c>
      <c r="C344" s="66" t="n">
        <v>12</v>
      </c>
      <c r="D344" s="6" t="inlineStr">
        <is>
          <t>December</t>
        </is>
      </c>
      <c r="E344" s="7" t="inlineStr">
        <is>
          <t>2026-M12</t>
        </is>
      </c>
      <c r="F344" s="66" t="n">
        <v>4</v>
      </c>
    </row>
    <row r="345">
      <c r="A345" s="7" t="inlineStr">
        <is>
          <t>2026-12-10</t>
        </is>
      </c>
      <c r="B345" s="66" t="n">
        <v>2026</v>
      </c>
      <c r="C345" s="66" t="n">
        <v>12</v>
      </c>
      <c r="D345" s="6" t="inlineStr">
        <is>
          <t>December</t>
        </is>
      </c>
      <c r="E345" s="7" t="inlineStr">
        <is>
          <t>2026-M12</t>
        </is>
      </c>
      <c r="F345" s="66" t="n">
        <v>4</v>
      </c>
    </row>
    <row r="346">
      <c r="A346" s="7" t="inlineStr">
        <is>
          <t>2026-12-11</t>
        </is>
      </c>
      <c r="B346" s="66" t="n">
        <v>2026</v>
      </c>
      <c r="C346" s="66" t="n">
        <v>12</v>
      </c>
      <c r="D346" s="6" t="inlineStr">
        <is>
          <t>December</t>
        </is>
      </c>
      <c r="E346" s="7" t="inlineStr">
        <is>
          <t>2026-M12</t>
        </is>
      </c>
      <c r="F346" s="66" t="n">
        <v>4</v>
      </c>
    </row>
    <row r="347">
      <c r="A347" s="7" t="inlineStr">
        <is>
          <t>2026-12-12</t>
        </is>
      </c>
      <c r="B347" s="66" t="n">
        <v>2026</v>
      </c>
      <c r="C347" s="66" t="n">
        <v>12</v>
      </c>
      <c r="D347" s="6" t="inlineStr">
        <is>
          <t>December</t>
        </is>
      </c>
      <c r="E347" s="7" t="inlineStr">
        <is>
          <t>2026-M12</t>
        </is>
      </c>
      <c r="F347" s="66" t="n">
        <v>4</v>
      </c>
    </row>
    <row r="348">
      <c r="A348" s="7" t="inlineStr">
        <is>
          <t>2026-12-13</t>
        </is>
      </c>
      <c r="B348" s="66" t="n">
        <v>2026</v>
      </c>
      <c r="C348" s="66" t="n">
        <v>12</v>
      </c>
      <c r="D348" s="6" t="inlineStr">
        <is>
          <t>December</t>
        </is>
      </c>
      <c r="E348" s="7" t="inlineStr">
        <is>
          <t>2026-M12</t>
        </is>
      </c>
      <c r="F348" s="66" t="n">
        <v>4</v>
      </c>
    </row>
    <row r="349">
      <c r="A349" s="7" t="inlineStr">
        <is>
          <t>2026-12-14</t>
        </is>
      </c>
      <c r="B349" s="66" t="n">
        <v>2026</v>
      </c>
      <c r="C349" s="66" t="n">
        <v>12</v>
      </c>
      <c r="D349" s="6" t="inlineStr">
        <is>
          <t>December</t>
        </is>
      </c>
      <c r="E349" s="7" t="inlineStr">
        <is>
          <t>2026-M12</t>
        </is>
      </c>
      <c r="F349" s="66" t="n">
        <v>4</v>
      </c>
    </row>
    <row r="350">
      <c r="A350" s="7" t="inlineStr">
        <is>
          <t>2026-12-15</t>
        </is>
      </c>
      <c r="B350" s="66" t="n">
        <v>2026</v>
      </c>
      <c r="C350" s="66" t="n">
        <v>12</v>
      </c>
      <c r="D350" s="6" t="inlineStr">
        <is>
          <t>December</t>
        </is>
      </c>
      <c r="E350" s="7" t="inlineStr">
        <is>
          <t>2026-M12</t>
        </is>
      </c>
      <c r="F350" s="66" t="n">
        <v>4</v>
      </c>
    </row>
    <row r="351">
      <c r="A351" s="7" t="inlineStr">
        <is>
          <t>2026-12-16</t>
        </is>
      </c>
      <c r="B351" s="66" t="n">
        <v>2026</v>
      </c>
      <c r="C351" s="66" t="n">
        <v>12</v>
      </c>
      <c r="D351" s="6" t="inlineStr">
        <is>
          <t>December</t>
        </is>
      </c>
      <c r="E351" s="7" t="inlineStr">
        <is>
          <t>2026-M12</t>
        </is>
      </c>
      <c r="F351" s="66" t="n">
        <v>4</v>
      </c>
    </row>
    <row r="352">
      <c r="A352" s="7" t="inlineStr">
        <is>
          <t>2026-12-17</t>
        </is>
      </c>
      <c r="B352" s="66" t="n">
        <v>2026</v>
      </c>
      <c r="C352" s="66" t="n">
        <v>12</v>
      </c>
      <c r="D352" s="6" t="inlineStr">
        <is>
          <t>December</t>
        </is>
      </c>
      <c r="E352" s="7" t="inlineStr">
        <is>
          <t>2026-M12</t>
        </is>
      </c>
      <c r="F352" s="66" t="n">
        <v>4</v>
      </c>
    </row>
    <row r="353">
      <c r="A353" s="7" t="inlineStr">
        <is>
          <t>2026-12-18</t>
        </is>
      </c>
      <c r="B353" s="66" t="n">
        <v>2026</v>
      </c>
      <c r="C353" s="66" t="n">
        <v>12</v>
      </c>
      <c r="D353" s="6" t="inlineStr">
        <is>
          <t>December</t>
        </is>
      </c>
      <c r="E353" s="7" t="inlineStr">
        <is>
          <t>2026-M12</t>
        </is>
      </c>
      <c r="F353" s="66" t="n">
        <v>4</v>
      </c>
    </row>
    <row r="354">
      <c r="A354" s="7" t="inlineStr">
        <is>
          <t>2026-12-19</t>
        </is>
      </c>
      <c r="B354" s="66" t="n">
        <v>2026</v>
      </c>
      <c r="C354" s="66" t="n">
        <v>12</v>
      </c>
      <c r="D354" s="6" t="inlineStr">
        <is>
          <t>December</t>
        </is>
      </c>
      <c r="E354" s="7" t="inlineStr">
        <is>
          <t>2026-M12</t>
        </is>
      </c>
      <c r="F354" s="66" t="n">
        <v>4</v>
      </c>
    </row>
    <row r="355">
      <c r="A355" s="7" t="inlineStr">
        <is>
          <t>2026-12-20</t>
        </is>
      </c>
      <c r="B355" s="66" t="n">
        <v>2026</v>
      </c>
      <c r="C355" s="66" t="n">
        <v>12</v>
      </c>
      <c r="D355" s="6" t="inlineStr">
        <is>
          <t>December</t>
        </is>
      </c>
      <c r="E355" s="7" t="inlineStr">
        <is>
          <t>2026-M12</t>
        </is>
      </c>
      <c r="F355" s="66" t="n">
        <v>4</v>
      </c>
    </row>
    <row r="356">
      <c r="A356" s="7" t="inlineStr">
        <is>
          <t>2026-12-21</t>
        </is>
      </c>
      <c r="B356" s="66" t="n">
        <v>2026</v>
      </c>
      <c r="C356" s="66" t="n">
        <v>12</v>
      </c>
      <c r="D356" s="6" t="inlineStr">
        <is>
          <t>December</t>
        </is>
      </c>
      <c r="E356" s="7" t="inlineStr">
        <is>
          <t>2026-M12</t>
        </is>
      </c>
      <c r="F356" s="66" t="n">
        <v>4</v>
      </c>
    </row>
    <row r="357">
      <c r="A357" s="7" t="inlineStr">
        <is>
          <t>2026-12-22</t>
        </is>
      </c>
      <c r="B357" s="66" t="n">
        <v>2026</v>
      </c>
      <c r="C357" s="66" t="n">
        <v>12</v>
      </c>
      <c r="D357" s="6" t="inlineStr">
        <is>
          <t>December</t>
        </is>
      </c>
      <c r="E357" s="7" t="inlineStr">
        <is>
          <t>2026-M12</t>
        </is>
      </c>
      <c r="F357" s="66" t="n">
        <v>4</v>
      </c>
    </row>
    <row r="358">
      <c r="A358" s="7" t="inlineStr">
        <is>
          <t>2026-12-23</t>
        </is>
      </c>
      <c r="B358" s="66" t="n">
        <v>2026</v>
      </c>
      <c r="C358" s="66" t="n">
        <v>12</v>
      </c>
      <c r="D358" s="6" t="inlineStr">
        <is>
          <t>December</t>
        </is>
      </c>
      <c r="E358" s="7" t="inlineStr">
        <is>
          <t>2026-M12</t>
        </is>
      </c>
      <c r="F358" s="66" t="n">
        <v>4</v>
      </c>
    </row>
    <row r="359">
      <c r="A359" s="7" t="inlineStr">
        <is>
          <t>2026-12-24</t>
        </is>
      </c>
      <c r="B359" s="66" t="n">
        <v>2026</v>
      </c>
      <c r="C359" s="66" t="n">
        <v>12</v>
      </c>
      <c r="D359" s="6" t="inlineStr">
        <is>
          <t>December</t>
        </is>
      </c>
      <c r="E359" s="7" t="inlineStr">
        <is>
          <t>2026-M12</t>
        </is>
      </c>
      <c r="F359" s="66" t="n">
        <v>4</v>
      </c>
    </row>
    <row r="360">
      <c r="A360" s="7" t="inlineStr">
        <is>
          <t>2026-12-25</t>
        </is>
      </c>
      <c r="B360" s="66" t="n">
        <v>2026</v>
      </c>
      <c r="C360" s="66" t="n">
        <v>12</v>
      </c>
      <c r="D360" s="6" t="inlineStr">
        <is>
          <t>December</t>
        </is>
      </c>
      <c r="E360" s="7" t="inlineStr">
        <is>
          <t>2026-M12</t>
        </is>
      </c>
      <c r="F360" s="66" t="n">
        <v>4</v>
      </c>
    </row>
    <row r="361">
      <c r="A361" s="7" t="inlineStr">
        <is>
          <t>2026-12-26</t>
        </is>
      </c>
      <c r="B361" s="66" t="n">
        <v>2026</v>
      </c>
      <c r="C361" s="66" t="n">
        <v>12</v>
      </c>
      <c r="D361" s="6" t="inlineStr">
        <is>
          <t>December</t>
        </is>
      </c>
      <c r="E361" s="7" t="inlineStr">
        <is>
          <t>2026-M12</t>
        </is>
      </c>
      <c r="F361" s="66" t="n">
        <v>4</v>
      </c>
    </row>
    <row r="362">
      <c r="A362" s="7" t="inlineStr">
        <is>
          <t>2026-12-27</t>
        </is>
      </c>
      <c r="B362" s="66" t="n">
        <v>2026</v>
      </c>
      <c r="C362" s="66" t="n">
        <v>12</v>
      </c>
      <c r="D362" s="6" t="inlineStr">
        <is>
          <t>December</t>
        </is>
      </c>
      <c r="E362" s="7" t="inlineStr">
        <is>
          <t>2026-M12</t>
        </is>
      </c>
      <c r="F362" s="66" t="n">
        <v>4</v>
      </c>
    </row>
    <row r="363">
      <c r="A363" s="7" t="inlineStr">
        <is>
          <t>2026-12-28</t>
        </is>
      </c>
      <c r="B363" s="66" t="n">
        <v>2026</v>
      </c>
      <c r="C363" s="66" t="n">
        <v>12</v>
      </c>
      <c r="D363" s="6" t="inlineStr">
        <is>
          <t>December</t>
        </is>
      </c>
      <c r="E363" s="7" t="inlineStr">
        <is>
          <t>2026-M12</t>
        </is>
      </c>
      <c r="F363" s="66" t="n">
        <v>4</v>
      </c>
    </row>
    <row r="364">
      <c r="A364" s="7" t="inlineStr">
        <is>
          <t>2026-12-29</t>
        </is>
      </c>
      <c r="B364" s="66" t="n">
        <v>2026</v>
      </c>
      <c r="C364" s="66" t="n">
        <v>12</v>
      </c>
      <c r="D364" s="6" t="inlineStr">
        <is>
          <t>December</t>
        </is>
      </c>
      <c r="E364" s="7" t="inlineStr">
        <is>
          <t>2026-M12</t>
        </is>
      </c>
      <c r="F364" s="66" t="n">
        <v>4</v>
      </c>
    </row>
    <row r="365">
      <c r="A365" s="7" t="inlineStr">
        <is>
          <t>2026-12-30</t>
        </is>
      </c>
      <c r="B365" s="66" t="n">
        <v>2026</v>
      </c>
      <c r="C365" s="66" t="n">
        <v>12</v>
      </c>
      <c r="D365" s="6" t="inlineStr">
        <is>
          <t>December</t>
        </is>
      </c>
      <c r="E365" s="7" t="inlineStr">
        <is>
          <t>2026-M12</t>
        </is>
      </c>
      <c r="F365" s="66" t="n">
        <v>4</v>
      </c>
    </row>
    <row r="366">
      <c r="A366" s="7" t="inlineStr">
        <is>
          <t>2026-12-31</t>
        </is>
      </c>
      <c r="B366" s="66" t="n">
        <v>2026</v>
      </c>
      <c r="C366" s="66" t="n">
        <v>12</v>
      </c>
      <c r="D366" s="6" t="inlineStr">
        <is>
          <t>December</t>
        </is>
      </c>
      <c r="E366" s="7" t="inlineStr">
        <is>
          <t>2026-M12</t>
        </is>
      </c>
      <c r="F366" s="66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39" customWidth="1" min="3" max="3"/>
    <col width="15" customWidth="1" min="4" max="4"/>
    <col width="19" customWidth="1" min="5" max="5"/>
    <col width="83" customWidth="1" min="6" max="6"/>
  </cols>
  <sheetData>
    <row r="1">
      <c r="A1" s="4" t="inlineStr">
        <is>
          <t>ModelCode</t>
        </is>
      </c>
      <c r="B1" s="4" t="inlineStr">
        <is>
          <t>ModelName</t>
        </is>
      </c>
      <c r="C1" s="4" t="inlineStr">
        <is>
          <t>Formula_Logic</t>
        </is>
      </c>
      <c r="D1" s="4" t="inlineStr">
        <is>
          <t>Cost_Weight</t>
        </is>
      </c>
      <c r="E1" s="4" t="inlineStr">
        <is>
          <t>Schedule_Weight</t>
        </is>
      </c>
      <c r="F1" s="4" t="inlineStr">
        <is>
          <t>Description</t>
        </is>
      </c>
    </row>
    <row r="2">
      <c r="A2" s="7" t="inlineStr">
        <is>
          <t>CPI</t>
        </is>
      </c>
      <c r="B2" s="6" t="inlineStr">
        <is>
          <t>Typisk CPI Modell</t>
        </is>
      </c>
      <c r="C2" s="6" t="inlineStr">
        <is>
          <t>BAC / CPI</t>
        </is>
      </c>
      <c r="D2" s="71" t="n">
        <v>1</v>
      </c>
      <c r="E2" s="71" t="n">
        <v>0</v>
      </c>
      <c r="F2" s="6" t="inlineStr">
        <is>
          <t>Forutsetter at historisk kostnadseffektivitet fortsetter uendret ut prosjektet</t>
        </is>
      </c>
    </row>
    <row r="3">
      <c r="A3" s="7" t="inlineStr">
        <is>
          <t>COMPOSITE</t>
        </is>
      </c>
      <c r="B3" s="6" t="inlineStr">
        <is>
          <t>Sammensatt CPI x SPI Modell</t>
        </is>
      </c>
      <c r="C3" s="6" t="inlineStr">
        <is>
          <t>AC + (BAC - EV)/(CPI * SPI)</t>
        </is>
      </c>
      <c r="D3" s="71" t="n">
        <v>0.5</v>
      </c>
      <c r="E3" s="71" t="n">
        <v>0.5</v>
      </c>
      <c r="F3" s="6" t="inlineStr">
        <is>
          <t>Tar eksplisitt hensyn til fremdriftsavvik og leveranseforsinkelse</t>
        </is>
      </c>
    </row>
    <row r="4">
      <c r="A4" s="7" t="inlineStr">
        <is>
          <t>WEIGHTED</t>
        </is>
      </c>
      <c r="B4" s="6" t="inlineStr">
        <is>
          <t>Vektet 80/20 Modell</t>
        </is>
      </c>
      <c r="C4" s="6" t="inlineStr">
        <is>
          <t>AC + (BAC - EV)/(0.8*CPI + 0.2*SPI)</t>
        </is>
      </c>
      <c r="D4" s="71" t="n">
        <v>0.8</v>
      </c>
      <c r="E4" s="71" t="n">
        <v>0.2</v>
      </c>
      <c r="F4" s="6" t="inlineStr">
        <is>
          <t>Standard controlling-framskriving med 80 % vekt på kostnad og 20 % på fremdrift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16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  <col width="12" customWidth="1" min="9" max="9"/>
    <col width="23" customWidth="1" min="10" max="10"/>
    <col width="23" customWidth="1" min="11" max="11"/>
    <col width="23" customWidth="1" min="12" max="12"/>
    <col width="23" customWidth="1" min="13" max="13"/>
    <col width="12" customWidth="1" min="14" max="14"/>
    <col width="12" customWidth="1" min="15" max="15"/>
  </cols>
  <sheetData>
    <row r="1">
      <c r="A1" s="4" t="inlineStr">
        <is>
          <t>reporting_period</t>
        </is>
      </c>
      <c r="B1" s="4" t="inlineStr">
        <is>
          <t>snapshot_timestamp</t>
        </is>
      </c>
      <c r="C1" s="4" t="inlineStr">
        <is>
          <t>project_id</t>
        </is>
      </c>
      <c r="D1" s="4" t="inlineStr">
        <is>
          <t>bac</t>
        </is>
      </c>
      <c r="E1" s="4" t="inlineStr">
        <is>
          <t>pv</t>
        </is>
      </c>
      <c r="F1" s="4" t="inlineStr">
        <is>
          <t>ev</t>
        </is>
      </c>
      <c r="G1" s="4" t="inlineStr">
        <is>
          <t>ac</t>
        </is>
      </c>
      <c r="H1" s="4" t="inlineStr">
        <is>
          <t>cpi</t>
        </is>
      </c>
      <c r="I1" s="4" t="inlineStr">
        <is>
          <t>spi</t>
        </is>
      </c>
      <c r="J1" s="4" t="inlineStr">
        <is>
          <t>eac_cpi</t>
        </is>
      </c>
      <c r="K1" s="4" t="inlineStr">
        <is>
          <t>eac_composite</t>
        </is>
      </c>
      <c r="L1" s="4" t="inlineStr">
        <is>
          <t>eac_weighted</t>
        </is>
      </c>
      <c r="M1" s="4" t="inlineStr">
        <is>
          <t>vac</t>
        </is>
      </c>
      <c r="N1" s="4" t="inlineStr">
        <is>
          <t>tcpi</t>
        </is>
      </c>
      <c r="O1" s="4" t="inlineStr">
        <is>
          <t>status</t>
        </is>
      </c>
    </row>
    <row r="2">
      <c r="A2" s="7" t="inlineStr">
        <is>
          <t>2026-M08</t>
        </is>
      </c>
      <c r="B2" s="7" t="inlineStr">
        <is>
          <t>2026-10-04 18:42:19</t>
        </is>
      </c>
      <c r="C2" s="7" t="inlineStr">
        <is>
          <t>UM-DEF-02</t>
        </is>
      </c>
      <c r="D2" s="13" t="n">
        <v>18500000</v>
      </c>
      <c r="E2" s="13" t="n">
        <v>12333333</v>
      </c>
      <c r="F2" s="13" t="n">
        <v>12600000</v>
      </c>
      <c r="G2" s="13" t="n">
        <v>12100000</v>
      </c>
      <c r="H2" s="23" t="n">
        <v>1.04</v>
      </c>
      <c r="I2" s="23" t="n">
        <v>1.02</v>
      </c>
      <c r="J2" s="13" t="n">
        <v>17788461.54</v>
      </c>
      <c r="K2" s="13" t="n">
        <v>17661840.12</v>
      </c>
      <c r="L2" s="13" t="n">
        <v>17794980.69</v>
      </c>
      <c r="M2" s="13" t="n">
        <v>711538.46</v>
      </c>
      <c r="N2" s="23" t="n">
        <v>0.92</v>
      </c>
      <c r="O2" s="6" t="inlineStr">
        <is>
          <t>ON TRACK</t>
        </is>
      </c>
    </row>
    <row r="3">
      <c r="A3" s="7" t="inlineStr">
        <is>
          <t>2026-M08</t>
        </is>
      </c>
      <c r="B3" s="7" t="inlineStr">
        <is>
          <t>2026-10-04 18:42:19</t>
        </is>
      </c>
      <c r="C3" s="7" t="inlineStr">
        <is>
          <t>UM-ENG-03</t>
        </is>
      </c>
      <c r="D3" s="13" t="n">
        <v>8200000</v>
      </c>
      <c r="E3" s="13" t="n">
        <v>5466667</v>
      </c>
      <c r="F3" s="13" t="n">
        <v>4300000</v>
      </c>
      <c r="G3" s="13" t="n">
        <v>5800000</v>
      </c>
      <c r="H3" s="23" t="n">
        <v>0.74</v>
      </c>
      <c r="I3" s="23" t="n">
        <v>0.79</v>
      </c>
      <c r="J3" s="13" t="n">
        <v>11081081.08</v>
      </c>
      <c r="K3" s="13" t="n">
        <v>12471228.19</v>
      </c>
      <c r="L3" s="13" t="n">
        <v>11000000</v>
      </c>
      <c r="M3" s="13" t="n">
        <v>-2881081.08</v>
      </c>
      <c r="N3" s="23" t="n">
        <v>1.62</v>
      </c>
      <c r="O3" s="6" t="inlineStr">
        <is>
          <t>CRITICAL</t>
        </is>
      </c>
    </row>
    <row r="4">
      <c r="A4" s="7" t="inlineStr">
        <is>
          <t>2026-M08</t>
        </is>
      </c>
      <c r="B4" s="7" t="inlineStr">
        <is>
          <t>2026-10-04 18:42:19</t>
        </is>
      </c>
      <c r="C4" s="7" t="inlineStr">
        <is>
          <t>UM-FPV-01</t>
        </is>
      </c>
      <c r="D4" s="13" t="n">
        <v>45000000</v>
      </c>
      <c r="E4" s="13" t="n">
        <v>30000000</v>
      </c>
      <c r="F4" s="13" t="n">
        <v>27500000</v>
      </c>
      <c r="G4" s="13" t="n">
        <v>30200000</v>
      </c>
      <c r="H4" s="23" t="n">
        <v>0.91</v>
      </c>
      <c r="I4" s="23" t="n">
        <v>0.92</v>
      </c>
      <c r="J4" s="13" t="n">
        <v>49450549.45</v>
      </c>
      <c r="K4" s="13" t="n">
        <v>51103010.03</v>
      </c>
      <c r="L4" s="13" t="n">
        <v>49388596.49</v>
      </c>
      <c r="M4" s="13" t="n">
        <v>-4450549.45</v>
      </c>
      <c r="N4" s="23" t="n">
        <v>1.18</v>
      </c>
      <c r="O4" s="6" t="inlineStr">
        <is>
          <t>CRITICAL</t>
        </is>
      </c>
    </row>
    <row r="5">
      <c r="A5" s="7" t="inlineStr">
        <is>
          <t>2026-M08</t>
        </is>
      </c>
      <c r="B5" s="7" t="inlineStr">
        <is>
          <t>2026-10-04 18:42:19</t>
        </is>
      </c>
      <c r="C5" s="7" t="inlineStr">
        <is>
          <t>UM-AI-04</t>
        </is>
      </c>
      <c r="D5" s="13" t="n">
        <v>12000000</v>
      </c>
      <c r="E5" s="13" t="n">
        <v>8000000</v>
      </c>
      <c r="F5" s="13" t="n">
        <v>8300000</v>
      </c>
      <c r="G5" s="13" t="n">
        <v>7900000</v>
      </c>
      <c r="H5" s="23" t="n">
        <v>1.05</v>
      </c>
      <c r="I5" s="23" t="n">
        <v>1.04</v>
      </c>
      <c r="J5" s="13" t="n">
        <v>11428571.43</v>
      </c>
      <c r="K5" s="13" t="n">
        <v>11288278.39</v>
      </c>
      <c r="L5" s="13" t="n">
        <v>11430534.35</v>
      </c>
      <c r="M5" s="13" t="n">
        <v>571428.5699999999</v>
      </c>
      <c r="N5" s="23" t="n">
        <v>0.9</v>
      </c>
      <c r="O5" s="6" t="inlineStr">
        <is>
          <t>ON TRACK</t>
        </is>
      </c>
    </row>
    <row r="6">
      <c r="A6" s="7" t="inlineStr">
        <is>
          <t>2026-M08</t>
        </is>
      </c>
      <c r="B6" s="7" t="inlineStr">
        <is>
          <t>2026-10-04 18:42:19</t>
        </is>
      </c>
      <c r="C6" s="7" t="inlineStr">
        <is>
          <t>UM-HEALTH-05</t>
        </is>
      </c>
      <c r="D6" s="13" t="n">
        <v>15000000</v>
      </c>
      <c r="E6" s="13" t="n">
        <v>10000000</v>
      </c>
      <c r="F6" s="13" t="n">
        <v>9100000</v>
      </c>
      <c r="G6" s="13" t="n">
        <v>10400000</v>
      </c>
      <c r="H6" s="23" t="n">
        <v>0.88</v>
      </c>
      <c r="I6" s="23" t="n">
        <v>0.91</v>
      </c>
      <c r="J6" s="13" t="n">
        <v>17045454.55</v>
      </c>
      <c r="K6" s="13" t="n">
        <v>17767632.37</v>
      </c>
      <c r="L6" s="13" t="n">
        <v>17059142.21</v>
      </c>
      <c r="M6" s="13" t="n">
        <v>-2045454.55</v>
      </c>
      <c r="N6" s="23" t="n">
        <v>1.28</v>
      </c>
      <c r="O6" s="6" t="inlineStr">
        <is>
          <t>CRITICAL</t>
        </is>
      </c>
    </row>
    <row r="7">
      <c r="A7" s="7" t="inlineStr">
        <is>
          <t>2026-M09</t>
        </is>
      </c>
      <c r="B7" s="7" t="inlineStr">
        <is>
          <t>2026-10-04 18:51:56</t>
        </is>
      </c>
      <c r="C7" s="7" t="inlineStr">
        <is>
          <t>UM-DEF-02</t>
        </is>
      </c>
      <c r="D7" s="13" t="n">
        <v>18500000</v>
      </c>
      <c r="E7" s="13" t="n">
        <v>13875000</v>
      </c>
      <c r="F7" s="13" t="n">
        <v>14100000</v>
      </c>
      <c r="G7" s="13" t="n">
        <v>13500000</v>
      </c>
      <c r="H7" s="23" t="n">
        <v>1.04</v>
      </c>
      <c r="I7" s="23" t="n">
        <v>1.02</v>
      </c>
      <c r="J7" s="13" t="n">
        <v>17788461.54</v>
      </c>
      <c r="K7" s="13" t="n">
        <v>17647812.97</v>
      </c>
      <c r="L7" s="13" t="n">
        <v>17747104.25</v>
      </c>
      <c r="M7" s="13" t="n">
        <v>711538.46</v>
      </c>
      <c r="N7" s="23" t="n">
        <v>0.88</v>
      </c>
      <c r="O7" s="6" t="inlineStr">
        <is>
          <t>ON TRACK</t>
        </is>
      </c>
    </row>
    <row r="8">
      <c r="A8" s="7" t="inlineStr">
        <is>
          <t>2026-M09</t>
        </is>
      </c>
      <c r="B8" s="7" t="inlineStr">
        <is>
          <t>2026-10-04 18:51:56</t>
        </is>
      </c>
      <c r="C8" s="7" t="inlineStr">
        <is>
          <t>UM-ENG-03</t>
        </is>
      </c>
      <c r="D8" s="13" t="n">
        <v>8200000</v>
      </c>
      <c r="E8" s="13" t="n">
        <v>6150000</v>
      </c>
      <c r="F8" s="13" t="n">
        <v>4800000</v>
      </c>
      <c r="G8" s="13" t="n">
        <v>6500000</v>
      </c>
      <c r="H8" s="23" t="n">
        <v>0.74</v>
      </c>
      <c r="I8" s="23" t="n">
        <v>0.78</v>
      </c>
      <c r="J8" s="13" t="n">
        <v>11081081.08</v>
      </c>
      <c r="K8" s="13" t="n">
        <v>12390505.89</v>
      </c>
      <c r="L8" s="13" t="n">
        <v>11045454.55</v>
      </c>
      <c r="M8" s="13" t="n">
        <v>-2881081.08</v>
      </c>
      <c r="N8" s="23" t="n">
        <v>2</v>
      </c>
      <c r="O8" s="6" t="inlineStr">
        <is>
          <t>CRITICAL</t>
        </is>
      </c>
    </row>
    <row r="9">
      <c r="A9" s="7" t="inlineStr">
        <is>
          <t>2026-M09</t>
        </is>
      </c>
      <c r="B9" s="7" t="inlineStr">
        <is>
          <t>2026-10-04 18:51:56</t>
        </is>
      </c>
      <c r="C9" s="7" t="inlineStr">
        <is>
          <t>UM-FPV-01</t>
        </is>
      </c>
      <c r="D9" s="13" t="n">
        <v>45000000</v>
      </c>
      <c r="E9" s="13" t="n">
        <v>33750000</v>
      </c>
      <c r="F9" s="13" t="n">
        <v>31000000</v>
      </c>
      <c r="G9" s="13" t="n">
        <v>33800000</v>
      </c>
      <c r="H9" s="23" t="n">
        <v>0.92</v>
      </c>
      <c r="I9" s="23" t="n">
        <v>0.92</v>
      </c>
      <c r="J9" s="13" t="n">
        <v>48913043.48</v>
      </c>
      <c r="K9" s="13" t="n">
        <v>50340642.72</v>
      </c>
      <c r="L9" s="13" t="n">
        <v>49017391.3</v>
      </c>
      <c r="M9" s="13" t="n">
        <v>-3913043.48</v>
      </c>
      <c r="N9" s="23" t="n">
        <v>1.25</v>
      </c>
      <c r="O9" s="6" t="inlineStr">
        <is>
          <t>CRITICAL</t>
        </is>
      </c>
    </row>
    <row r="10">
      <c r="A10" s="7" t="inlineStr">
        <is>
          <t>2026-M09</t>
        </is>
      </c>
      <c r="B10" s="7" t="inlineStr">
        <is>
          <t>2026-10-04 18:51:56</t>
        </is>
      </c>
      <c r="C10" s="7" t="inlineStr">
        <is>
          <t>UM-AI-04</t>
        </is>
      </c>
      <c r="D10" s="13" t="n">
        <v>12000000</v>
      </c>
      <c r="E10" s="13" t="n">
        <v>9000000</v>
      </c>
      <c r="F10" s="13" t="n">
        <v>9300000</v>
      </c>
      <c r="G10" s="13" t="n">
        <v>8800000</v>
      </c>
      <c r="H10" s="23" t="n">
        <v>1.06</v>
      </c>
      <c r="I10" s="23" t="n">
        <v>1.03</v>
      </c>
      <c r="J10" s="13" t="n">
        <v>11320754.72</v>
      </c>
      <c r="K10" s="13" t="n">
        <v>11272980.4</v>
      </c>
      <c r="L10" s="13" t="n">
        <v>11361669.83</v>
      </c>
      <c r="M10" s="13" t="n">
        <v>679245.28</v>
      </c>
      <c r="N10" s="23" t="n">
        <v>0.84</v>
      </c>
      <c r="O10" s="6" t="inlineStr">
        <is>
          <t>ON TRACK</t>
        </is>
      </c>
    </row>
    <row r="11">
      <c r="A11" s="7" t="inlineStr">
        <is>
          <t>2026-M09</t>
        </is>
      </c>
      <c r="B11" s="7" t="inlineStr">
        <is>
          <t>2026-10-04 18:51:56</t>
        </is>
      </c>
      <c r="C11" s="7" t="inlineStr">
        <is>
          <t>UM-HEALTH-05</t>
        </is>
      </c>
      <c r="D11" s="13" t="n">
        <v>15000000</v>
      </c>
      <c r="E11" s="13" t="n">
        <v>11250000</v>
      </c>
      <c r="F11" s="13" t="n">
        <v>10200000</v>
      </c>
      <c r="G11" s="13" t="n">
        <v>11600000</v>
      </c>
      <c r="H11" s="23" t="n">
        <v>0.88</v>
      </c>
      <c r="I11" s="23" t="n">
        <v>0.91</v>
      </c>
      <c r="J11" s="13" t="n">
        <v>17045454.55</v>
      </c>
      <c r="K11" s="13" t="n">
        <v>17594005.99</v>
      </c>
      <c r="L11" s="13" t="n">
        <v>17017607.22</v>
      </c>
      <c r="M11" s="13" t="n">
        <v>-2045454.55</v>
      </c>
      <c r="N11" s="23" t="n">
        <v>1.41</v>
      </c>
      <c r="O11" s="6" t="inlineStr">
        <is>
          <t>CRITICAL</t>
        </is>
      </c>
    </row>
    <row r="12">
      <c r="A12" s="7" t="inlineStr">
        <is>
          <t>2026-M10</t>
        </is>
      </c>
      <c r="B12" s="7" t="inlineStr">
        <is>
          <t>2026-10-04 19:02:11</t>
        </is>
      </c>
      <c r="C12" s="7" t="inlineStr">
        <is>
          <t>UM-DEF-02</t>
        </is>
      </c>
      <c r="D12" s="13" t="n">
        <v>18500000</v>
      </c>
      <c r="E12" s="13" t="n">
        <v>12000000</v>
      </c>
      <c r="F12" s="13" t="n">
        <v>12200000</v>
      </c>
      <c r="G12" s="13" t="n">
        <v>11800000</v>
      </c>
      <c r="H12" s="23" t="n">
        <v>1.03</v>
      </c>
      <c r="I12" s="23" t="n">
        <v>1.02</v>
      </c>
      <c r="J12" s="13" t="n">
        <v>17961165.05</v>
      </c>
      <c r="K12" s="13" t="n">
        <v>17796573.39</v>
      </c>
      <c r="L12" s="13" t="n">
        <v>17928404.67</v>
      </c>
      <c r="M12" s="13" t="n">
        <v>538834.95</v>
      </c>
      <c r="N12" s="23" t="n">
        <v>0.9399999999999999</v>
      </c>
      <c r="O12" s="6" t="inlineStr">
        <is>
          <t>ON TRACK</t>
        </is>
      </c>
    </row>
    <row r="13">
      <c r="A13" s="7" t="inlineStr">
        <is>
          <t>2026-M10</t>
        </is>
      </c>
      <c r="B13" s="7" t="inlineStr">
        <is>
          <t>2026-10-04 19:02:11</t>
        </is>
      </c>
      <c r="C13" s="7" t="inlineStr">
        <is>
          <t>UM-ENG-03</t>
        </is>
      </c>
      <c r="D13" s="13" t="n">
        <v>8200000</v>
      </c>
      <c r="E13" s="13" t="n">
        <v>6500000</v>
      </c>
      <c r="F13" s="13" t="n">
        <v>5200000</v>
      </c>
      <c r="G13" s="13" t="n">
        <v>6800000</v>
      </c>
      <c r="H13" s="23" t="n">
        <v>0.76</v>
      </c>
      <c r="I13" s="23" t="n">
        <v>0.8</v>
      </c>
      <c r="J13" s="13" t="n">
        <v>10789473.68</v>
      </c>
      <c r="K13" s="13" t="n">
        <v>11734210.53</v>
      </c>
      <c r="L13" s="13" t="n">
        <v>10706250</v>
      </c>
      <c r="M13" s="13" t="n">
        <v>-2589473.68</v>
      </c>
      <c r="N13" s="23" t="n">
        <v>2.14</v>
      </c>
      <c r="O13" s="6" t="inlineStr">
        <is>
          <t>CRITICAL</t>
        </is>
      </c>
    </row>
    <row r="14">
      <c r="A14" s="7" t="inlineStr">
        <is>
          <t>2026-M10</t>
        </is>
      </c>
      <c r="B14" s="7" t="inlineStr">
        <is>
          <t>2026-10-04 19:02:11</t>
        </is>
      </c>
      <c r="C14" s="7" t="inlineStr">
        <is>
          <t>UM-FPV-01</t>
        </is>
      </c>
      <c r="D14" s="13" t="n">
        <v>45000000</v>
      </c>
      <c r="E14" s="13" t="n">
        <v>22500000</v>
      </c>
      <c r="F14" s="13" t="n">
        <v>21000000</v>
      </c>
      <c r="G14" s="13" t="n">
        <v>23100000</v>
      </c>
      <c r="H14" s="23" t="n">
        <v>0.91</v>
      </c>
      <c r="I14" s="23" t="n">
        <v>0.93</v>
      </c>
      <c r="J14" s="13" t="n">
        <v>49450549.45</v>
      </c>
      <c r="K14" s="13" t="n">
        <v>51458738.04</v>
      </c>
      <c r="L14" s="13" t="n">
        <v>49358205.69</v>
      </c>
      <c r="M14" s="13" t="n">
        <v>-4450549.45</v>
      </c>
      <c r="N14" s="23" t="n">
        <v>1.1</v>
      </c>
      <c r="O14" s="6" t="inlineStr">
        <is>
          <t>CRITICAL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73" customWidth="1" min="3" max="3"/>
    <col width="21" customWidth="1" min="4" max="4"/>
    <col width="12" customWidth="1" min="5" max="5"/>
    <col width="16" customWidth="1" min="6" max="6"/>
    <col width="22" customWidth="1" min="7" max="7"/>
    <col width="73" customWidth="1" min="8" max="8"/>
    <col width="76" customWidth="1" min="9" max="9"/>
  </cols>
  <sheetData>
    <row r="1">
      <c r="A1" s="4" t="inlineStr">
        <is>
          <t>transaksjon_id</t>
        </is>
      </c>
      <c r="B1" s="4" t="inlineStr">
        <is>
          <t>konto</t>
        </is>
      </c>
      <c r="C1" s="4" t="inlineStr">
        <is>
          <t>beskrivelse</t>
        </is>
      </c>
      <c r="D1" s="4" t="inlineStr">
        <is>
          <t>belop_nok</t>
        </is>
      </c>
      <c r="E1" s="4" t="inlineStr">
        <is>
          <t>bdm_id</t>
        </is>
      </c>
      <c r="F1" s="4" t="inlineStr">
        <is>
          <t>attestant_id</t>
        </is>
      </c>
      <c r="G1" s="4" t="inlineStr">
        <is>
          <t>kvittering_vedlagt</t>
        </is>
      </c>
      <c r="H1" s="4" t="inlineStr">
        <is>
          <t>formaal</t>
        </is>
      </c>
      <c r="I1" s="4" t="inlineStr">
        <is>
          <t>Kontrollflagg</t>
        </is>
      </c>
    </row>
    <row r="2">
      <c r="A2" s="7" t="inlineStr">
        <is>
          <t>TX-1001</t>
        </is>
      </c>
      <c r="B2" s="7" t="inlineStr">
        <is>
          <t>7100</t>
        </is>
      </c>
      <c r="C2" s="6" t="inlineStr">
        <is>
          <t>Bilgodtgjørelse feltarbeid</t>
        </is>
      </c>
      <c r="D2" s="34" t="n">
        <v>1450</v>
      </c>
      <c r="E2" s="7" t="inlineStr">
        <is>
          <t>EMP-201</t>
        </is>
      </c>
      <c r="F2" s="7" t="inlineStr">
        <is>
          <t>EMP-202</t>
        </is>
      </c>
      <c r="G2" s="66" t="n">
        <v>1</v>
      </c>
      <c r="H2" s="6" t="inlineStr">
        <is>
          <t>Feltarbeid Agder</t>
        </is>
      </c>
      <c r="I2" s="6">
        <f>IF(E2=F2, "BRUDD: Egengodkjenning", IF(G2=0, "MANGLER BILAG", "OK"))</f>
        <v/>
      </c>
    </row>
    <row r="3">
      <c r="A3" s="67" t="inlineStr">
        <is>
          <t>TX-1002</t>
        </is>
      </c>
      <c r="B3" s="67" t="inlineStr">
        <is>
          <t>7130</t>
        </is>
      </c>
      <c r="C3" s="19" t="inlineStr">
        <is>
          <t>Reiseregning fagsamling</t>
        </is>
      </c>
      <c r="D3" s="72" t="n">
        <v>4200</v>
      </c>
      <c r="E3" s="67" t="inlineStr">
        <is>
          <t>EMP-203</t>
        </is>
      </c>
      <c r="F3" s="67" t="inlineStr">
        <is>
          <t>EMP-203</t>
        </is>
      </c>
      <c r="G3" s="69" t="n">
        <v>1</v>
      </c>
      <c r="H3" s="19" t="inlineStr">
        <is>
          <t>Konferanse Oslo (FEIL: Egengodkjent)</t>
        </is>
      </c>
      <c r="I3" s="18">
        <f>IF(E3=F3, "BRUDD: Egengodkjenning", IF(G3=0, "MANGLER BILAG", "OK"))</f>
        <v/>
      </c>
    </row>
    <row r="4">
      <c r="A4" s="7" t="inlineStr">
        <is>
          <t>TX-1003</t>
        </is>
      </c>
      <c r="B4" s="7" t="inlineStr">
        <is>
          <t>6800</t>
        </is>
      </c>
      <c r="C4" s="6" t="inlineStr">
        <is>
          <t>Kontorrekvisita</t>
        </is>
      </c>
      <c r="D4" s="34" t="n">
        <v>250</v>
      </c>
      <c r="E4" s="7" t="inlineStr">
        <is>
          <t>EMP-201</t>
        </is>
      </c>
      <c r="F4" s="7" t="inlineStr">
        <is>
          <t>EMP-204</t>
        </is>
      </c>
      <c r="G4" s="66" t="n">
        <v>0</v>
      </c>
      <c r="H4" s="6" t="inlineStr">
        <is>
          <t>Innkjøp rekvisita (FEIL: Mangler kvittering &gt; 100 kr)</t>
        </is>
      </c>
      <c r="I4" s="6">
        <f>IF(E4=F4, "BRUDD: Egengodkjenning", IF(G4=0, "MANGLER BILAG", "OK"))</f>
        <v/>
      </c>
    </row>
    <row r="5">
      <c r="A5" s="7" t="inlineStr">
        <is>
          <t>TX-1004</t>
        </is>
      </c>
      <c r="B5" s="7" t="inlineStr">
        <is>
          <t>5330</t>
        </is>
      </c>
      <c r="C5" s="6" t="inlineStr">
        <is>
          <t>Sensorhonorar Vår 2026</t>
        </is>
      </c>
      <c r="D5" s="34" t="n">
        <v>12500</v>
      </c>
      <c r="E5" s="7" t="inlineStr">
        <is>
          <t>EMP-205</t>
        </is>
      </c>
      <c r="F5" s="7" t="inlineStr">
        <is>
          <t>EMP-206</t>
        </is>
      </c>
      <c r="G5" s="66" t="n">
        <v>1</v>
      </c>
      <c r="H5" s="6" t="inlineStr">
        <is>
          <t>Sensur ORG-200</t>
        </is>
      </c>
      <c r="I5" s="6">
        <f>IF(E5=F5, "BRUDD: Egengodkjenning", IF(G5=0, "MANGLER BILAG", "OK"))</f>
        <v/>
      </c>
    </row>
    <row r="6">
      <c r="A6" s="7" t="inlineStr">
        <is>
          <t>TX-1005</t>
        </is>
      </c>
      <c r="B6" s="7" t="inlineStr">
        <is>
          <t>7150</t>
        </is>
      </c>
      <c r="C6" s="6" t="inlineStr">
        <is>
          <t>Utenlandsreise AACSB</t>
        </is>
      </c>
      <c r="D6" s="34" t="n">
        <v>18500</v>
      </c>
      <c r="E6" s="7" t="inlineStr">
        <is>
          <t>EMP-201</t>
        </is>
      </c>
      <c r="F6" s="7" t="inlineStr">
        <is>
          <t>EMP-202</t>
        </is>
      </c>
      <c r="G6" s="66" t="n">
        <v>1</v>
      </c>
      <c r="H6" s="6" t="inlineStr">
        <is>
          <t>AACSB Konferanse USA</t>
        </is>
      </c>
      <c r="I6" s="6">
        <f>IF(E6=F6, "BRUDD: Egengodkjenning", IF(G6=0, "MANGLER BILAG", "OK"))</f>
        <v/>
      </c>
    </row>
    <row r="7">
      <c r="A7" s="7" t="inlineStr">
        <is>
          <t>TX-9001</t>
        </is>
      </c>
      <c r="B7" s="7" t="inlineStr">
        <is>
          <t>5000</t>
        </is>
      </c>
      <c r="C7" s="6" t="inlineStr">
        <is>
          <t>Fast Lønn - Sept 2026 (Handelshøyskolen)</t>
        </is>
      </c>
      <c r="D7" s="34" t="n">
        <v>40471.27</v>
      </c>
      <c r="E7" s="7" t="inlineStr">
        <is>
          <t>EMP-114</t>
        </is>
      </c>
      <c r="F7" s="7" t="inlineStr">
        <is>
          <t>EMP-108</t>
        </is>
      </c>
      <c r="G7" s="66" t="n">
        <v>1</v>
      </c>
      <c r="H7" s="6" t="inlineStr">
        <is>
          <t>Fast Lønn - Sept 2026 (Handelshøyskolen)</t>
        </is>
      </c>
      <c r="I7" s="6">
        <f>IF(E7=F7, "BRUDD: Egengodkjenning", IF(G7=0, "MANGLER BILAG", "OK"))</f>
        <v/>
      </c>
    </row>
    <row r="8">
      <c r="A8" s="7" t="inlineStr">
        <is>
          <t>TX-9002</t>
        </is>
      </c>
      <c r="B8" s="7" t="inlineStr">
        <is>
          <t>7100</t>
        </is>
      </c>
      <c r="C8" s="6" t="inlineStr">
        <is>
          <t>Bilgodtgjørelse feltarbeid - Sept 2026 (Helse- og Idrettsvitenskap)</t>
        </is>
      </c>
      <c r="D8" s="34" t="n">
        <v>2352.61</v>
      </c>
      <c r="E8" s="7" t="inlineStr">
        <is>
          <t>EMP-110</t>
        </is>
      </c>
      <c r="F8" s="7" t="inlineStr">
        <is>
          <t>EMP-112</t>
        </is>
      </c>
      <c r="G8" s="66" t="n">
        <v>1</v>
      </c>
      <c r="H8" s="6" t="inlineStr">
        <is>
          <t>Bilgodtgjørelse feltarbeid - Sept 2026 (Helse- og Idrettsvitenskap)</t>
        </is>
      </c>
      <c r="I8" s="6">
        <f>IF(E8=F8, "BRUDD: Egengodkjenning", IF(G8=0, "MANGLER BILAG", "OK"))</f>
        <v/>
      </c>
    </row>
    <row r="9">
      <c r="A9" s="7" t="inlineStr">
        <is>
          <t>TX-9003</t>
        </is>
      </c>
      <c r="B9" s="7" t="inlineStr">
        <is>
          <t>5000</t>
        </is>
      </c>
      <c r="C9" s="6" t="inlineStr">
        <is>
          <t>Fast Lønn - Sept 2026 (Fellesadministrasjon)</t>
        </is>
      </c>
      <c r="D9" s="34" t="n">
        <v>55209.04</v>
      </c>
      <c r="E9" s="7" t="inlineStr">
        <is>
          <t>EMP-103</t>
        </is>
      </c>
      <c r="F9" s="7" t="inlineStr">
        <is>
          <t>EMP-110</t>
        </is>
      </c>
      <c r="G9" s="66" t="n">
        <v>1</v>
      </c>
      <c r="H9" s="6" t="inlineStr">
        <is>
          <t>Fast Lønn - Sept 2026 (Fellesadministrasjon)</t>
        </is>
      </c>
      <c r="I9" s="6">
        <f>IF(E9=F9, "BRUDD: Egengodkjenning", IF(G9=0, "MANGLER BILAG", "OK"))</f>
        <v/>
      </c>
    </row>
    <row r="10">
      <c r="A10" s="7" t="inlineStr">
        <is>
          <t>TX-9004</t>
        </is>
      </c>
      <c r="B10" s="7" t="inlineStr">
        <is>
          <t>3400</t>
        </is>
      </c>
      <c r="C10" s="6" t="inlineStr">
        <is>
          <t>Oppdragsinntekter BOA - Sept 2026 (Handelshøyskolen)</t>
        </is>
      </c>
      <c r="D10" s="34" t="n">
        <v>-69957.11</v>
      </c>
      <c r="E10" s="7" t="inlineStr">
        <is>
          <t>EMP-104</t>
        </is>
      </c>
      <c r="F10" s="7" t="inlineStr">
        <is>
          <t>EMP-114</t>
        </is>
      </c>
      <c r="G10" s="66" t="n">
        <v>1</v>
      </c>
      <c r="H10" s="6" t="inlineStr">
        <is>
          <t>Oppdragsinntekter BOA - Sept 2026 (Handelshøyskolen)</t>
        </is>
      </c>
      <c r="I10" s="6">
        <f>IF(E10=F10, "BRUDD: Egengodkjenning", IF(G10=0, "MANGLER BILAG", "OK"))</f>
        <v/>
      </c>
    </row>
    <row r="11">
      <c r="A11" s="7" t="inlineStr">
        <is>
          <t>TX-9005</t>
        </is>
      </c>
      <c r="B11" s="7" t="inlineStr">
        <is>
          <t>7130</t>
        </is>
      </c>
      <c r="C11" s="6" t="inlineStr">
        <is>
          <t>Reiseregning fagsamling - Sept 2026 (Handelshøyskolen)</t>
        </is>
      </c>
      <c r="D11" s="34" t="n">
        <v>4001.14</v>
      </c>
      <c r="E11" s="7" t="inlineStr">
        <is>
          <t>EMP-107</t>
        </is>
      </c>
      <c r="F11" s="7" t="inlineStr">
        <is>
          <t>EMP-102</t>
        </is>
      </c>
      <c r="G11" s="66" t="n">
        <v>1</v>
      </c>
      <c r="H11" s="6" t="inlineStr">
        <is>
          <t>Reiseregning fagsamling - Sept 2026 (Handelshøyskolen)</t>
        </is>
      </c>
      <c r="I11" s="6">
        <f>IF(E11=F11, "BRUDD: Egengodkjenning", IF(G11=0, "MANGLER BILAG", "OK"))</f>
        <v/>
      </c>
    </row>
    <row r="12">
      <c r="A12" s="7" t="inlineStr">
        <is>
          <t>TX-9006</t>
        </is>
      </c>
      <c r="B12" s="7" t="inlineStr">
        <is>
          <t>6800</t>
        </is>
      </c>
      <c r="C12" s="6" t="inlineStr">
        <is>
          <t>Kontorrekvisita - Sept 2026 (Handelshøyskolen)</t>
        </is>
      </c>
      <c r="D12" s="34" t="n">
        <v>1437.32</v>
      </c>
      <c r="E12" s="7" t="inlineStr">
        <is>
          <t>EMP-101</t>
        </is>
      </c>
      <c r="F12" s="7" t="inlineStr">
        <is>
          <t>EMP-107</t>
        </is>
      </c>
      <c r="G12" s="66" t="n">
        <v>1</v>
      </c>
      <c r="H12" s="6" t="inlineStr">
        <is>
          <t>Kontorrekvisita - Sept 2026 (Handelshøyskolen)</t>
        </is>
      </c>
      <c r="I12" s="6">
        <f>IF(E12=F12, "BRUDD: Egengodkjenning", IF(G12=0, "MANGLER BILAG", "OK"))</f>
        <v/>
      </c>
    </row>
    <row r="13">
      <c r="A13" s="7" t="inlineStr">
        <is>
          <t>TX-9007</t>
        </is>
      </c>
      <c r="B13" s="7" t="inlineStr">
        <is>
          <t>5330</t>
        </is>
      </c>
      <c r="C13" s="6" t="inlineStr">
        <is>
          <t>Sensorhonorarer - Sept 2026 (Teknologi og Realfag)</t>
        </is>
      </c>
      <c r="D13" s="34" t="n">
        <v>10574.2</v>
      </c>
      <c r="E13" s="7" t="inlineStr">
        <is>
          <t>EMP-104</t>
        </is>
      </c>
      <c r="F13" s="7" t="inlineStr">
        <is>
          <t>EMP-113</t>
        </is>
      </c>
      <c r="G13" s="66" t="n">
        <v>1</v>
      </c>
      <c r="H13" s="6" t="inlineStr">
        <is>
          <t>Sensorhonorarer - Sept 2026 (Teknologi og Realfag)</t>
        </is>
      </c>
      <c r="I13" s="6">
        <f>IF(E13=F13, "BRUDD: Egengodkjenning", IF(G13=0, "MANGLER BILAG", "OK"))</f>
        <v/>
      </c>
    </row>
    <row r="14">
      <c r="A14" s="7" t="inlineStr">
        <is>
          <t>TX-9008</t>
        </is>
      </c>
      <c r="B14" s="7" t="inlineStr">
        <is>
          <t>5000</t>
        </is>
      </c>
      <c r="C14" s="6" t="inlineStr">
        <is>
          <t>Fast Lønn - Sept 2026 (Handelshøyskolen)</t>
        </is>
      </c>
      <c r="D14" s="34" t="n">
        <v>36720.74</v>
      </c>
      <c r="E14" s="7" t="inlineStr">
        <is>
          <t>EMP-114</t>
        </is>
      </c>
      <c r="F14" s="7" t="inlineStr">
        <is>
          <t>EMP-102</t>
        </is>
      </c>
      <c r="G14" s="66" t="n">
        <v>1</v>
      </c>
      <c r="H14" s="6" t="inlineStr">
        <is>
          <t>Fast Lønn - Sept 2026 (Handelshøyskolen)</t>
        </is>
      </c>
      <c r="I14" s="6">
        <f>IF(E14=F14, "BRUDD: Egengodkjenning", IF(G14=0, "MANGLER BILAG", "OK"))</f>
        <v/>
      </c>
    </row>
    <row r="15">
      <c r="A15" s="7" t="inlineStr">
        <is>
          <t>TX-9009</t>
        </is>
      </c>
      <c r="B15" s="7" t="inlineStr">
        <is>
          <t>7150</t>
        </is>
      </c>
      <c r="C15" s="6" t="inlineStr">
        <is>
          <t>Utenlandsreise fagkonferanse - Sept 2026 (Teknologi og Realfag)</t>
        </is>
      </c>
      <c r="D15" s="34" t="n">
        <v>19717.25</v>
      </c>
      <c r="E15" s="7" t="inlineStr">
        <is>
          <t>EMP-102</t>
        </is>
      </c>
      <c r="F15" s="7" t="inlineStr">
        <is>
          <t>EMP-110</t>
        </is>
      </c>
      <c r="G15" s="66" t="n">
        <v>1</v>
      </c>
      <c r="H15" s="6" t="inlineStr">
        <is>
          <t>Utenlandsreise fagkonferanse - Sept 2026 (Teknologi og Realfag)</t>
        </is>
      </c>
      <c r="I15" s="6">
        <f>IF(E15=F15, "BRUDD: Egengodkjenning", IF(G15=0, "MANGLER BILAG", "OK"))</f>
        <v/>
      </c>
    </row>
    <row r="16">
      <c r="A16" s="7" t="inlineStr">
        <is>
          <t>TX-9010</t>
        </is>
      </c>
      <c r="B16" s="7" t="inlineStr">
        <is>
          <t>5330</t>
        </is>
      </c>
      <c r="C16" s="6" t="inlineStr">
        <is>
          <t>Sensorhonorarer - Sept 2026 (Helse- og Idrettsvitenskap)</t>
        </is>
      </c>
      <c r="D16" s="34" t="n">
        <v>13873.48</v>
      </c>
      <c r="E16" s="7" t="inlineStr">
        <is>
          <t>EMP-103</t>
        </is>
      </c>
      <c r="F16" s="7" t="inlineStr">
        <is>
          <t>EMP-114</t>
        </is>
      </c>
      <c r="G16" s="66" t="n">
        <v>1</v>
      </c>
      <c r="H16" s="6" t="inlineStr">
        <is>
          <t>Sensorhonorarer - Sept 2026 (Helse- og Idrettsvitenskap)</t>
        </is>
      </c>
      <c r="I16" s="6">
        <f>IF(E16=F16, "BRUDD: Egengodkjenning", IF(G16=0, "MANGLER BILAG", "OK"))</f>
        <v/>
      </c>
    </row>
    <row r="17">
      <c r="A17" s="7" t="inlineStr">
        <is>
          <t>TX-9011</t>
        </is>
      </c>
      <c r="B17" s="7" t="inlineStr">
        <is>
          <t>5000</t>
        </is>
      </c>
      <c r="C17" s="6" t="inlineStr">
        <is>
          <t>Fast Lønn - Sept 2026 (Teknologi og Realfag)</t>
        </is>
      </c>
      <c r="D17" s="34" t="n">
        <v>52415.69</v>
      </c>
      <c r="E17" s="7" t="inlineStr">
        <is>
          <t>EMP-108</t>
        </is>
      </c>
      <c r="F17" s="7" t="inlineStr">
        <is>
          <t>EMP-106</t>
        </is>
      </c>
      <c r="G17" s="66" t="n">
        <v>1</v>
      </c>
      <c r="H17" s="6" t="inlineStr">
        <is>
          <t>Fast Lønn - Sept 2026 (Teknologi og Realfag)</t>
        </is>
      </c>
      <c r="I17" s="6">
        <f>IF(E17=F17, "BRUDD: Egengodkjenning", IF(G17=0, "MANGLER BILAG", "OK"))</f>
        <v/>
      </c>
    </row>
    <row r="18">
      <c r="A18" s="67" t="inlineStr">
        <is>
          <t>TX-9012</t>
        </is>
      </c>
      <c r="B18" s="67" t="inlineStr">
        <is>
          <t>6800</t>
        </is>
      </c>
      <c r="C18" s="19" t="inlineStr">
        <is>
          <t>Kontorrekvisita - Sept 2026 (Helse- og Idrettsvitenskap)</t>
        </is>
      </c>
      <c r="D18" s="72" t="n">
        <v>1656.08</v>
      </c>
      <c r="E18" s="67" t="inlineStr">
        <is>
          <t>EMP-114</t>
        </is>
      </c>
      <c r="F18" s="67" t="inlineStr">
        <is>
          <t>EMP-114</t>
        </is>
      </c>
      <c r="G18" s="69" t="n">
        <v>1</v>
      </c>
      <c r="H18" s="19" t="inlineStr">
        <is>
          <t>Kontorrekvisita - Sept 2026 (Helse- og Idrettsvitenskap)</t>
        </is>
      </c>
      <c r="I18" s="18">
        <f>IF(E18=F18, "BRUDD: Egengodkjenning", IF(G18=0, "MANGLER BILAG", "OK"))</f>
        <v/>
      </c>
    </row>
    <row r="19">
      <c r="A19" s="7" t="inlineStr">
        <is>
          <t>TX-9013</t>
        </is>
      </c>
      <c r="B19" s="7" t="inlineStr">
        <is>
          <t>6800</t>
        </is>
      </c>
      <c r="C19" s="6" t="inlineStr">
        <is>
          <t>Kontorrekvisita - Sept 2026 (Helse- og Idrettsvitenskap)</t>
        </is>
      </c>
      <c r="D19" s="34" t="n">
        <v>1653.4</v>
      </c>
      <c r="E19" s="7" t="inlineStr">
        <is>
          <t>EMP-113</t>
        </is>
      </c>
      <c r="F19" s="7" t="inlineStr">
        <is>
          <t>EMP-112</t>
        </is>
      </c>
      <c r="G19" s="66" t="n">
        <v>1</v>
      </c>
      <c r="H19" s="6" t="inlineStr">
        <is>
          <t>Kontorrekvisita - Sept 2026 (Helse- og Idrettsvitenskap)</t>
        </is>
      </c>
      <c r="I19" s="6">
        <f>IF(E19=F19, "BRUDD: Egengodkjenning", IF(G19=0, "MANGLER BILAG", "OK"))</f>
        <v/>
      </c>
    </row>
    <row r="20">
      <c r="A20" s="7" t="inlineStr">
        <is>
          <t>TX-9014</t>
        </is>
      </c>
      <c r="B20" s="7" t="inlineStr">
        <is>
          <t>7100</t>
        </is>
      </c>
      <c r="C20" s="6" t="inlineStr">
        <is>
          <t>Bilgodtgjørelse feltarbeid - Sept 2026 (Teknologi og Realfag)</t>
        </is>
      </c>
      <c r="D20" s="34" t="n">
        <v>2622.02</v>
      </c>
      <c r="E20" s="7" t="inlineStr">
        <is>
          <t>EMP-103</t>
        </is>
      </c>
      <c r="F20" s="7" t="inlineStr">
        <is>
          <t>EMP-101</t>
        </is>
      </c>
      <c r="G20" s="66" t="n">
        <v>1</v>
      </c>
      <c r="H20" s="6" t="inlineStr">
        <is>
          <t>Bilgodtgjørelse feltarbeid - Sept 2026 (Teknologi og Realfag)</t>
        </is>
      </c>
      <c r="I20" s="6">
        <f>IF(E20=F20, "BRUDD: Egengodkjenning", IF(G20=0, "MANGLER BILAG", "OK"))</f>
        <v/>
      </c>
    </row>
    <row r="21">
      <c r="A21" s="67" t="inlineStr">
        <is>
          <t>TX-9015</t>
        </is>
      </c>
      <c r="B21" s="67" t="inlineStr">
        <is>
          <t>7100</t>
        </is>
      </c>
      <c r="C21" s="19" t="inlineStr">
        <is>
          <t>Bilgodtgjørelse feltarbeid - Sept 2026 (Handelshøyskolen)</t>
        </is>
      </c>
      <c r="D21" s="72" t="n">
        <v>1540.99</v>
      </c>
      <c r="E21" s="67" t="inlineStr">
        <is>
          <t>EMP-103</t>
        </is>
      </c>
      <c r="F21" s="67" t="inlineStr">
        <is>
          <t>EMP-103</t>
        </is>
      </c>
      <c r="G21" s="69" t="n">
        <v>1</v>
      </c>
      <c r="H21" s="19" t="inlineStr">
        <is>
          <t>Bilgodtgjørelse feltarbeid - Sept 2026 (Handelshøyskolen)</t>
        </is>
      </c>
      <c r="I21" s="18">
        <f>IF(E21=F21, "BRUDD: Egengodkjenning", IF(G21=0, "MANGLER BILAG", "OK"))</f>
        <v/>
      </c>
    </row>
    <row r="22">
      <c r="A22" s="7" t="inlineStr">
        <is>
          <t>TX-9016</t>
        </is>
      </c>
      <c r="B22" s="7" t="inlineStr">
        <is>
          <t>3400</t>
        </is>
      </c>
      <c r="C22" s="6" t="inlineStr">
        <is>
          <t>Oppdragsinntekter BOA - Sept 2026 (Fellesadministrasjon)</t>
        </is>
      </c>
      <c r="D22" s="34" t="n">
        <v>-68249.95</v>
      </c>
      <c r="E22" s="7" t="inlineStr">
        <is>
          <t>EMP-108</t>
        </is>
      </c>
      <c r="F22" s="7" t="inlineStr">
        <is>
          <t>EMP-102</t>
        </is>
      </c>
      <c r="G22" s="66" t="n">
        <v>1</v>
      </c>
      <c r="H22" s="6" t="inlineStr">
        <is>
          <t>Oppdragsinntekter BOA - Sept 2026 (Fellesadministrasjon)</t>
        </is>
      </c>
      <c r="I22" s="6">
        <f>IF(E22=F22, "BRUDD: Egengodkjenning", IF(G22=0, "MANGLER BILAG", "OK"))</f>
        <v/>
      </c>
    </row>
    <row r="23">
      <c r="A23" s="7" t="inlineStr">
        <is>
          <t>TX-9017</t>
        </is>
      </c>
      <c r="B23" s="7" t="inlineStr">
        <is>
          <t>6300</t>
        </is>
      </c>
      <c r="C23" s="6" t="inlineStr">
        <is>
          <t>Kontorleie &amp; Strøm - Sept 2026 (Fellesadministrasjon)</t>
        </is>
      </c>
      <c r="D23" s="34" t="n">
        <v>37499.56</v>
      </c>
      <c r="E23" s="7" t="inlineStr">
        <is>
          <t>EMP-106</t>
        </is>
      </c>
      <c r="F23" s="7" t="inlineStr">
        <is>
          <t>EMP-107</t>
        </is>
      </c>
      <c r="G23" s="66" t="n">
        <v>1</v>
      </c>
      <c r="H23" s="6" t="inlineStr">
        <is>
          <t>Kontorleie &amp; Strøm - Sept 2026 (Fellesadministrasjon)</t>
        </is>
      </c>
      <c r="I23" s="6">
        <f>IF(E23=F23, "BRUDD: Egengodkjenning", IF(G23=0, "MANGLER BILAG", "OK"))</f>
        <v/>
      </c>
    </row>
    <row r="24">
      <c r="A24" s="7" t="inlineStr">
        <is>
          <t>TX-9018</t>
        </is>
      </c>
      <c r="B24" s="7" t="inlineStr">
        <is>
          <t>3400</t>
        </is>
      </c>
      <c r="C24" s="6" t="inlineStr">
        <is>
          <t>Oppdragsinntekter BOA - Sept 2026 (Handelshøyskolen)</t>
        </is>
      </c>
      <c r="D24" s="34" t="n">
        <v>-66484.24000000001</v>
      </c>
      <c r="E24" s="7" t="inlineStr">
        <is>
          <t>EMP-106</t>
        </is>
      </c>
      <c r="F24" s="7" t="inlineStr">
        <is>
          <t>EMP-114</t>
        </is>
      </c>
      <c r="G24" s="66" t="n">
        <v>1</v>
      </c>
      <c r="H24" s="6" t="inlineStr">
        <is>
          <t>Oppdragsinntekter BOA - Sept 2026 (Handelshøyskolen)</t>
        </is>
      </c>
      <c r="I24" s="6">
        <f>IF(E24=F24, "BRUDD: Egengodkjenning", IF(G24=0, "MANGLER BILAG", "OK"))</f>
        <v/>
      </c>
    </row>
    <row r="25">
      <c r="A25" s="7" t="inlineStr">
        <is>
          <t>TX-9019</t>
        </is>
      </c>
      <c r="B25" s="7" t="inlineStr">
        <is>
          <t>5330</t>
        </is>
      </c>
      <c r="C25" s="6" t="inlineStr">
        <is>
          <t>Sensorhonorarer - Sept 2026 (Handelshøyskolen)</t>
        </is>
      </c>
      <c r="D25" s="34" t="n">
        <v>14679.81</v>
      </c>
      <c r="E25" s="7" t="inlineStr">
        <is>
          <t>EMP-114</t>
        </is>
      </c>
      <c r="F25" s="7" t="inlineStr">
        <is>
          <t>EMP-101</t>
        </is>
      </c>
      <c r="G25" s="66" t="n">
        <v>1</v>
      </c>
      <c r="H25" s="6" t="inlineStr">
        <is>
          <t>Sensorhonorarer - Sept 2026 (Handelshøyskolen)</t>
        </is>
      </c>
      <c r="I25" s="6">
        <f>IF(E25=F25, "BRUDD: Egengodkjenning", IF(G25=0, "MANGLER BILAG", "OK"))</f>
        <v/>
      </c>
    </row>
    <row r="26">
      <c r="A26" s="7" t="inlineStr">
        <is>
          <t>TX-9020</t>
        </is>
      </c>
      <c r="B26" s="7" t="inlineStr">
        <is>
          <t>6300</t>
        </is>
      </c>
      <c r="C26" s="6" t="inlineStr">
        <is>
          <t>Kontorleie &amp; Strøm - Sept 2026 (Helse- og Idrettsvitenskap)</t>
        </is>
      </c>
      <c r="D26" s="34" t="n">
        <v>40769.1</v>
      </c>
      <c r="E26" s="7" t="inlineStr">
        <is>
          <t>EMP-112</t>
        </is>
      </c>
      <c r="F26" s="7" t="inlineStr">
        <is>
          <t>EMP-107</t>
        </is>
      </c>
      <c r="G26" s="66" t="n">
        <v>1</v>
      </c>
      <c r="H26" s="6" t="inlineStr">
        <is>
          <t>Kontorleie &amp; Strøm - Sept 2026 (Helse- og Idrettsvitenskap)</t>
        </is>
      </c>
      <c r="I26" s="6">
        <f>IF(E26=F26, "BRUDD: Egengodkjenning", IF(G26=0, "MANGLER BILAG", "OK"))</f>
        <v/>
      </c>
    </row>
    <row r="27">
      <c r="A27" s="7" t="inlineStr">
        <is>
          <t>TX-9021</t>
        </is>
      </c>
      <c r="B27" s="7" t="inlineStr">
        <is>
          <t>5330</t>
        </is>
      </c>
      <c r="C27" s="6" t="inlineStr">
        <is>
          <t>Sensorhonorarer - Sept 2026 (Helse- og Idrettsvitenskap)</t>
        </is>
      </c>
      <c r="D27" s="34" t="n">
        <v>14606.23</v>
      </c>
      <c r="E27" s="7" t="inlineStr">
        <is>
          <t>EMP-106</t>
        </is>
      </c>
      <c r="F27" s="7" t="inlineStr">
        <is>
          <t>EMP-110</t>
        </is>
      </c>
      <c r="G27" s="66" t="n">
        <v>1</v>
      </c>
      <c r="H27" s="6" t="inlineStr">
        <is>
          <t>Sensorhonorarer - Sept 2026 (Helse- og Idrettsvitenskap)</t>
        </is>
      </c>
      <c r="I27" s="6">
        <f>IF(E27=F27, "BRUDD: Egengodkjenning", IF(G27=0, "MANGLER BILAG", "OK"))</f>
        <v/>
      </c>
    </row>
    <row r="28">
      <c r="A28" s="7" t="inlineStr">
        <is>
          <t>TX-9022</t>
        </is>
      </c>
      <c r="B28" s="7" t="inlineStr">
        <is>
          <t>7130</t>
        </is>
      </c>
      <c r="C28" s="6" t="inlineStr">
        <is>
          <t>Reiseregning fagsamling - Sept 2026 (Fellesadministrasjon)</t>
        </is>
      </c>
      <c r="D28" s="34" t="n">
        <v>4110.92</v>
      </c>
      <c r="E28" s="7" t="inlineStr">
        <is>
          <t>EMP-105</t>
        </is>
      </c>
      <c r="F28" s="7" t="inlineStr">
        <is>
          <t>EMP-110</t>
        </is>
      </c>
      <c r="G28" s="66" t="n">
        <v>0</v>
      </c>
      <c r="H28" s="6" t="inlineStr">
        <is>
          <t>Reiseregning fagsamling - Sept 2026 (Fellesadministrasjon)</t>
        </is>
      </c>
      <c r="I28" s="6">
        <f>IF(E28=F28, "BRUDD: Egengodkjenning", IF(G28=0, "MANGLER BILAG", "OK"))</f>
        <v/>
      </c>
    </row>
    <row r="29">
      <c r="A29" s="7" t="inlineStr">
        <is>
          <t>TX-9023</t>
        </is>
      </c>
      <c r="B29" s="7" t="inlineStr">
        <is>
          <t>5000</t>
        </is>
      </c>
      <c r="C29" s="6" t="inlineStr">
        <is>
          <t>Fast Lønn - Sept 2026 (Helse- og Idrettsvitenskap)</t>
        </is>
      </c>
      <c r="D29" s="34" t="n">
        <v>33978.54</v>
      </c>
      <c r="E29" s="7" t="inlineStr">
        <is>
          <t>EMP-114</t>
        </is>
      </c>
      <c r="F29" s="7" t="inlineStr">
        <is>
          <t>EMP-107</t>
        </is>
      </c>
      <c r="G29" s="66" t="n">
        <v>1</v>
      </c>
      <c r="H29" s="6" t="inlineStr">
        <is>
          <t>Fast Lønn - Sept 2026 (Helse- og Idrettsvitenskap)</t>
        </is>
      </c>
      <c r="I29" s="6">
        <f>IF(E29=F29, "BRUDD: Egengodkjenning", IF(G29=0, "MANGLER BILAG", "OK"))</f>
        <v/>
      </c>
    </row>
    <row r="30">
      <c r="A30" s="7" t="inlineStr">
        <is>
          <t>TX-9024</t>
        </is>
      </c>
      <c r="B30" s="7" t="inlineStr">
        <is>
          <t>6300</t>
        </is>
      </c>
      <c r="C30" s="6" t="inlineStr">
        <is>
          <t>Kontorleie &amp; Strøm - Sept 2026 (Fellesadministrasjon)</t>
        </is>
      </c>
      <c r="D30" s="34" t="n">
        <v>26674.19</v>
      </c>
      <c r="E30" s="7" t="inlineStr">
        <is>
          <t>EMP-113</t>
        </is>
      </c>
      <c r="F30" s="7" t="inlineStr">
        <is>
          <t>EMP-110</t>
        </is>
      </c>
      <c r="G30" s="66" t="n">
        <v>1</v>
      </c>
      <c r="H30" s="6" t="inlineStr">
        <is>
          <t>Kontorleie &amp; Strøm - Sept 2026 (Fellesadministrasjon)</t>
        </is>
      </c>
      <c r="I30" s="6">
        <f>IF(E30=F30, "BRUDD: Egengodkjenning", IF(G30=0, "MANGLER BILAG", "OK"))</f>
        <v/>
      </c>
    </row>
    <row r="31">
      <c r="A31" s="7" t="inlineStr">
        <is>
          <t>TX-9025</t>
        </is>
      </c>
      <c r="B31" s="7" t="inlineStr">
        <is>
          <t>5000</t>
        </is>
      </c>
      <c r="C31" s="6" t="inlineStr">
        <is>
          <t>Fast Lønn - Sept 2026 (Fellesadministrasjon)</t>
        </is>
      </c>
      <c r="D31" s="34" t="n">
        <v>47562.74</v>
      </c>
      <c r="E31" s="7" t="inlineStr">
        <is>
          <t>EMP-107</t>
        </is>
      </c>
      <c r="F31" s="7" t="inlineStr">
        <is>
          <t>EMP-101</t>
        </is>
      </c>
      <c r="G31" s="66" t="n">
        <v>1</v>
      </c>
      <c r="H31" s="6" t="inlineStr">
        <is>
          <t>Fast Lønn - Sept 2026 (Fellesadministrasjon)</t>
        </is>
      </c>
      <c r="I31" s="6">
        <f>IF(E31=F31, "BRUDD: Egengodkjenning", IF(G31=0, "MANGLER BILAG", "OK"))</f>
        <v/>
      </c>
    </row>
    <row r="32">
      <c r="A32" s="7" t="inlineStr">
        <is>
          <t>TX-9026</t>
        </is>
      </c>
      <c r="B32" s="7" t="inlineStr">
        <is>
          <t>5330</t>
        </is>
      </c>
      <c r="C32" s="6" t="inlineStr">
        <is>
          <t>Sensorhonorarer - Sept 2026 (Fellesadministrasjon)</t>
        </is>
      </c>
      <c r="D32" s="34" t="n">
        <v>10720.77</v>
      </c>
      <c r="E32" s="7" t="inlineStr">
        <is>
          <t>EMP-106</t>
        </is>
      </c>
      <c r="F32" s="7" t="inlineStr">
        <is>
          <t>EMP-107</t>
        </is>
      </c>
      <c r="G32" s="66" t="n">
        <v>1</v>
      </c>
      <c r="H32" s="6" t="inlineStr">
        <is>
          <t>Sensorhonorarer - Sept 2026 (Fellesadministrasjon)</t>
        </is>
      </c>
      <c r="I32" s="6">
        <f>IF(E32=F32, "BRUDD: Egengodkjenning", IF(G32=0, "MANGLER BILAG", "OK"))</f>
        <v/>
      </c>
    </row>
    <row r="33">
      <c r="A33" s="7" t="inlineStr">
        <is>
          <t>TX-9027</t>
        </is>
      </c>
      <c r="B33" s="7" t="inlineStr">
        <is>
          <t>3400</t>
        </is>
      </c>
      <c r="C33" s="6" t="inlineStr">
        <is>
          <t>Oppdragsinntekter BOA - Sept 2026 (Fellesadministrasjon)</t>
        </is>
      </c>
      <c r="D33" s="34" t="n">
        <v>-63625.84</v>
      </c>
      <c r="E33" s="7" t="inlineStr">
        <is>
          <t>EMP-113</t>
        </is>
      </c>
      <c r="F33" s="7" t="inlineStr">
        <is>
          <t>EMP-103</t>
        </is>
      </c>
      <c r="G33" s="66" t="n">
        <v>1</v>
      </c>
      <c r="H33" s="6" t="inlineStr">
        <is>
          <t>Oppdragsinntekter BOA - Sept 2026 (Fellesadministrasjon)</t>
        </is>
      </c>
      <c r="I33" s="6">
        <f>IF(E33=F33, "BRUDD: Egengodkjenning", IF(G33=0, "MANGLER BILAG", "OK"))</f>
        <v/>
      </c>
    </row>
    <row r="34">
      <c r="A34" s="67" t="inlineStr">
        <is>
          <t>TX-9028</t>
        </is>
      </c>
      <c r="B34" s="67" t="inlineStr">
        <is>
          <t>6300</t>
        </is>
      </c>
      <c r="C34" s="19" t="inlineStr">
        <is>
          <t>Kontorleie &amp; Strøm - Sept 2026 (Helse- og Idrettsvitenskap)</t>
        </is>
      </c>
      <c r="D34" s="72" t="n">
        <v>29647.66</v>
      </c>
      <c r="E34" s="67" t="inlineStr">
        <is>
          <t>EMP-110</t>
        </is>
      </c>
      <c r="F34" s="67" t="inlineStr">
        <is>
          <t>EMP-110</t>
        </is>
      </c>
      <c r="G34" s="69" t="n">
        <v>1</v>
      </c>
      <c r="H34" s="19" t="inlineStr">
        <is>
          <t>Kontorleie &amp; Strøm - Sept 2026 (Helse- og Idrettsvitenskap)</t>
        </is>
      </c>
      <c r="I34" s="18">
        <f>IF(E34=F34, "BRUDD: Egengodkjenning", IF(G34=0, "MANGLER BILAG", "OK"))</f>
        <v/>
      </c>
    </row>
    <row r="35">
      <c r="A35" s="7" t="inlineStr">
        <is>
          <t>TX-9029</t>
        </is>
      </c>
      <c r="B35" s="7" t="inlineStr">
        <is>
          <t>7130</t>
        </is>
      </c>
      <c r="C35" s="6" t="inlineStr">
        <is>
          <t>Reiseregning fagsamling - Sept 2026 (Handelshøyskolen)</t>
        </is>
      </c>
      <c r="D35" s="34" t="n">
        <v>6023.57</v>
      </c>
      <c r="E35" s="7" t="inlineStr">
        <is>
          <t>EMP-106</t>
        </is>
      </c>
      <c r="F35" s="7" t="inlineStr">
        <is>
          <t>EMP-102</t>
        </is>
      </c>
      <c r="G35" s="66" t="n">
        <v>1</v>
      </c>
      <c r="H35" s="6" t="inlineStr">
        <is>
          <t>Reiseregning fagsamling - Sept 2026 (Handelshøyskolen)</t>
        </is>
      </c>
      <c r="I35" s="6">
        <f>IF(E35=F35, "BRUDD: Egengodkjenning", IF(G35=0, "MANGLER BILAG", "OK"))</f>
        <v/>
      </c>
    </row>
    <row r="36">
      <c r="A36" s="67" t="inlineStr">
        <is>
          <t>TX-9030</t>
        </is>
      </c>
      <c r="B36" s="67" t="inlineStr">
        <is>
          <t>3400</t>
        </is>
      </c>
      <c r="C36" s="19" t="inlineStr">
        <is>
          <t>Oppdragsinntekter BOA - Sept 2026 (Handelshøyskolen)</t>
        </is>
      </c>
      <c r="D36" s="72" t="n">
        <v>-66317.71000000001</v>
      </c>
      <c r="E36" s="67" t="inlineStr">
        <is>
          <t>EMP-101</t>
        </is>
      </c>
      <c r="F36" s="67" t="inlineStr">
        <is>
          <t>EMP-101</t>
        </is>
      </c>
      <c r="G36" s="69" t="n">
        <v>1</v>
      </c>
      <c r="H36" s="19" t="inlineStr">
        <is>
          <t>Oppdragsinntekter BOA - Sept 2026 (Handelshøyskolen)</t>
        </is>
      </c>
      <c r="I36" s="18">
        <f>IF(E36=F36, "BRUDD: Egengodkjenning", IF(G36=0, "MANGLER BILAG", "OK"))</f>
        <v/>
      </c>
    </row>
    <row r="37">
      <c r="A37" s="7" t="inlineStr">
        <is>
          <t>TX-9031</t>
        </is>
      </c>
      <c r="B37" s="7" t="inlineStr">
        <is>
          <t>5000</t>
        </is>
      </c>
      <c r="C37" s="6" t="inlineStr">
        <is>
          <t>Fast Lønn - Sept 2026 (Handelshøyskolen)</t>
        </is>
      </c>
      <c r="D37" s="34" t="n">
        <v>40275.43</v>
      </c>
      <c r="E37" s="7" t="inlineStr">
        <is>
          <t>EMP-105</t>
        </is>
      </c>
      <c r="F37" s="7" t="inlineStr">
        <is>
          <t>EMP-110</t>
        </is>
      </c>
      <c r="G37" s="66" t="n">
        <v>1</v>
      </c>
      <c r="H37" s="6" t="inlineStr">
        <is>
          <t>Fast Lønn - Sept 2026 (Handelshøyskolen)</t>
        </is>
      </c>
      <c r="I37" s="6">
        <f>IF(E37=F37, "BRUDD: Egengodkjenning", IF(G37=0, "MANGLER BILAG", "OK"))</f>
        <v/>
      </c>
    </row>
    <row r="38">
      <c r="A38" s="7" t="inlineStr">
        <is>
          <t>TX-9032</t>
        </is>
      </c>
      <c r="B38" s="7" t="inlineStr">
        <is>
          <t>6300</t>
        </is>
      </c>
      <c r="C38" s="6" t="inlineStr">
        <is>
          <t>Kontorleie &amp; Strøm - Sept 2026 (Fellesadministrasjon)</t>
        </is>
      </c>
      <c r="D38" s="34" t="n">
        <v>35790.77</v>
      </c>
      <c r="E38" s="7" t="inlineStr">
        <is>
          <t>EMP-111</t>
        </is>
      </c>
      <c r="F38" s="7" t="inlineStr">
        <is>
          <t>EMP-107</t>
        </is>
      </c>
      <c r="G38" s="66" t="n">
        <v>1</v>
      </c>
      <c r="H38" s="6" t="inlineStr">
        <is>
          <t>Kontorleie &amp; Strøm - Sept 2026 (Fellesadministrasjon)</t>
        </is>
      </c>
      <c r="I38" s="6">
        <f>IF(E38=F38, "BRUDD: Egengodkjenning", IF(G38=0, "MANGLER BILAG", "OK"))</f>
        <v/>
      </c>
    </row>
    <row r="39">
      <c r="A39" s="7" t="inlineStr">
        <is>
          <t>TX-9033</t>
        </is>
      </c>
      <c r="B39" s="7" t="inlineStr">
        <is>
          <t>6800</t>
        </is>
      </c>
      <c r="C39" s="6" t="inlineStr">
        <is>
          <t>Kontorrekvisita - Sept 2026 (Handelshøyskolen)</t>
        </is>
      </c>
      <c r="D39" s="34" t="n">
        <v>1636.17</v>
      </c>
      <c r="E39" s="7" t="inlineStr">
        <is>
          <t>EMP-107</t>
        </is>
      </c>
      <c r="F39" s="7" t="inlineStr">
        <is>
          <t>EMP-104</t>
        </is>
      </c>
      <c r="G39" s="66" t="n">
        <v>1</v>
      </c>
      <c r="H39" s="6" t="inlineStr">
        <is>
          <t>Kontorrekvisita - Sept 2026 (Handelshøyskolen)</t>
        </is>
      </c>
      <c r="I39" s="6">
        <f>IF(E39=F39, "BRUDD: Egengodkjenning", IF(G39=0, "MANGLER BILAG", "OK"))</f>
        <v/>
      </c>
    </row>
    <row r="40">
      <c r="A40" s="7" t="inlineStr">
        <is>
          <t>TX-9034</t>
        </is>
      </c>
      <c r="B40" s="7" t="inlineStr">
        <is>
          <t>3400</t>
        </is>
      </c>
      <c r="C40" s="6" t="inlineStr">
        <is>
          <t>Oppdragsinntekter BOA - Sept 2026 (Handelshøyskolen)</t>
        </is>
      </c>
      <c r="D40" s="34" t="n">
        <v>-50275.78</v>
      </c>
      <c r="E40" s="7" t="inlineStr">
        <is>
          <t>EMP-111</t>
        </is>
      </c>
      <c r="F40" s="7" t="inlineStr">
        <is>
          <t>EMP-114</t>
        </is>
      </c>
      <c r="G40" s="66" t="n">
        <v>1</v>
      </c>
      <c r="H40" s="6" t="inlineStr">
        <is>
          <t>Oppdragsinntekter BOA - Sept 2026 (Handelshøyskolen)</t>
        </is>
      </c>
      <c r="I40" s="6">
        <f>IF(E40=F40, "BRUDD: Egengodkjenning", IF(G40=0, "MANGLER BILAG", "OK"))</f>
        <v/>
      </c>
    </row>
    <row r="41">
      <c r="A41" s="67" t="inlineStr">
        <is>
          <t>TX-9035</t>
        </is>
      </c>
      <c r="B41" s="67" t="inlineStr">
        <is>
          <t>5330</t>
        </is>
      </c>
      <c r="C41" s="19" t="inlineStr">
        <is>
          <t>Sensorhonorarer - Sept 2026 (Teknologi og Realfag)</t>
        </is>
      </c>
      <c r="D41" s="72" t="n">
        <v>12088.76</v>
      </c>
      <c r="E41" s="67" t="inlineStr">
        <is>
          <t>EMP-113</t>
        </is>
      </c>
      <c r="F41" s="67" t="inlineStr">
        <is>
          <t>EMP-113</t>
        </is>
      </c>
      <c r="G41" s="69" t="n">
        <v>1</v>
      </c>
      <c r="H41" s="19" t="inlineStr">
        <is>
          <t>Sensorhonorarer - Sept 2026 (Teknologi og Realfag)</t>
        </is>
      </c>
      <c r="I41" s="18">
        <f>IF(E41=F41, "BRUDD: Egengodkjenning", IF(G41=0, "MANGLER BILAG", "OK"))</f>
        <v/>
      </c>
    </row>
    <row r="42">
      <c r="A42" s="7" t="inlineStr">
        <is>
          <t>TX-9036</t>
        </is>
      </c>
      <c r="B42" s="7" t="inlineStr">
        <is>
          <t>7130</t>
        </is>
      </c>
      <c r="C42" s="6" t="inlineStr">
        <is>
          <t>Reiseregning fagsamling - Sept 2026 (Teknologi og Realfag)</t>
        </is>
      </c>
      <c r="D42" s="34" t="n">
        <v>3924.37</v>
      </c>
      <c r="E42" s="7" t="inlineStr">
        <is>
          <t>EMP-104</t>
        </is>
      </c>
      <c r="F42" s="7" t="inlineStr">
        <is>
          <t>EMP-106</t>
        </is>
      </c>
      <c r="G42" s="66" t="n">
        <v>1</v>
      </c>
      <c r="H42" s="6" t="inlineStr">
        <is>
          <t>Reiseregning fagsamling - Sept 2026 (Teknologi og Realfag)</t>
        </is>
      </c>
      <c r="I42" s="6">
        <f>IF(E42=F42, "BRUDD: Egengodkjenning", IF(G42=0, "MANGLER BILAG", "OK"))</f>
        <v/>
      </c>
    </row>
    <row r="43">
      <c r="A43" s="7" t="inlineStr">
        <is>
          <t>TX-9037</t>
        </is>
      </c>
      <c r="B43" s="7" t="inlineStr">
        <is>
          <t>6800</t>
        </is>
      </c>
      <c r="C43" s="6" t="inlineStr">
        <is>
          <t>Kontorrekvisita - Sept 2026 (Helse- og Idrettsvitenskap)</t>
        </is>
      </c>
      <c r="D43" s="34" t="n">
        <v>1409.25</v>
      </c>
      <c r="E43" s="7" t="inlineStr">
        <is>
          <t>EMP-108</t>
        </is>
      </c>
      <c r="F43" s="7" t="inlineStr">
        <is>
          <t>EMP-106</t>
        </is>
      </c>
      <c r="G43" s="66" t="n">
        <v>1</v>
      </c>
      <c r="H43" s="6" t="inlineStr">
        <is>
          <t>Kontorrekvisita - Sept 2026 (Helse- og Idrettsvitenskap)</t>
        </is>
      </c>
      <c r="I43" s="6">
        <f>IF(E43=F43, "BRUDD: Egengodkjenning", IF(G43=0, "MANGLER BILAG", "OK"))</f>
        <v/>
      </c>
    </row>
    <row r="44">
      <c r="A44" s="7" t="inlineStr">
        <is>
          <t>TX-9038</t>
        </is>
      </c>
      <c r="B44" s="7" t="inlineStr">
        <is>
          <t>7150</t>
        </is>
      </c>
      <c r="C44" s="6" t="inlineStr">
        <is>
          <t>Utenlandsreise fagkonferanse - Sept 2026 (Helse- og Idrettsvitenskap)</t>
        </is>
      </c>
      <c r="D44" s="34" t="n">
        <v>23189.63</v>
      </c>
      <c r="E44" s="7" t="inlineStr">
        <is>
          <t>EMP-109</t>
        </is>
      </c>
      <c r="F44" s="7" t="inlineStr">
        <is>
          <t>EMP-105</t>
        </is>
      </c>
      <c r="G44" s="66" t="n">
        <v>1</v>
      </c>
      <c r="H44" s="6" t="inlineStr">
        <is>
          <t>Utenlandsreise fagkonferanse - Sept 2026 (Helse- og Idrettsvitenskap)</t>
        </is>
      </c>
      <c r="I44" s="6">
        <f>IF(E44=F44, "BRUDD: Egengodkjenning", IF(G44=0, "MANGLER BILAG", "OK"))</f>
        <v/>
      </c>
    </row>
    <row r="45">
      <c r="A45" s="7" t="inlineStr">
        <is>
          <t>TX-9039</t>
        </is>
      </c>
      <c r="B45" s="7" t="inlineStr">
        <is>
          <t>6300</t>
        </is>
      </c>
      <c r="C45" s="6" t="inlineStr">
        <is>
          <t>Kontorleie &amp; Strøm - Sept 2026 (Fellesadministrasjon)</t>
        </is>
      </c>
      <c r="D45" s="34" t="n">
        <v>26748.68</v>
      </c>
      <c r="E45" s="7" t="inlineStr">
        <is>
          <t>EMP-104</t>
        </is>
      </c>
      <c r="F45" s="7" t="inlineStr">
        <is>
          <t>EMP-106</t>
        </is>
      </c>
      <c r="G45" s="66" t="n">
        <v>1</v>
      </c>
      <c r="H45" s="6" t="inlineStr">
        <is>
          <t>Kontorleie &amp; Strøm - Sept 2026 (Fellesadministrasjon)</t>
        </is>
      </c>
      <c r="I45" s="6">
        <f>IF(E45=F45, "BRUDD: Egengodkjenning", IF(G45=0, "MANGLER BILAG", "OK"))</f>
        <v/>
      </c>
    </row>
    <row r="46">
      <c r="A46" s="7" t="inlineStr">
        <is>
          <t>TX-9040</t>
        </is>
      </c>
      <c r="B46" s="7" t="inlineStr">
        <is>
          <t>3400</t>
        </is>
      </c>
      <c r="C46" s="6" t="inlineStr">
        <is>
          <t>Oppdragsinntekter BOA - Sept 2026 (Teknologi og Realfag)</t>
        </is>
      </c>
      <c r="D46" s="34" t="n">
        <v>-46096.77</v>
      </c>
      <c r="E46" s="7" t="inlineStr">
        <is>
          <t>EMP-111</t>
        </is>
      </c>
      <c r="F46" s="7" t="inlineStr">
        <is>
          <t>EMP-110</t>
        </is>
      </c>
      <c r="G46" s="66" t="n">
        <v>1</v>
      </c>
      <c r="H46" s="6" t="inlineStr">
        <is>
          <t>Oppdragsinntekter BOA - Sept 2026 (Teknologi og Realfag)</t>
        </is>
      </c>
      <c r="I46" s="6">
        <f>IF(E46=F46, "BRUDD: Egengodkjenning", IF(G46=0, "MANGLER BILAG", "OK"))</f>
        <v/>
      </c>
    </row>
    <row r="47">
      <c r="A47" s="67" t="inlineStr">
        <is>
          <t>TX-9041</t>
        </is>
      </c>
      <c r="B47" s="67" t="inlineStr">
        <is>
          <t>7130</t>
        </is>
      </c>
      <c r="C47" s="19" t="inlineStr">
        <is>
          <t>Reiseregning fagsamling - Sept 2026 (Handelshøyskolen)</t>
        </is>
      </c>
      <c r="D47" s="72" t="n">
        <v>4455.32</v>
      </c>
      <c r="E47" s="67" t="inlineStr">
        <is>
          <t>EMP-104</t>
        </is>
      </c>
      <c r="F47" s="67" t="inlineStr">
        <is>
          <t>EMP-104</t>
        </is>
      </c>
      <c r="G47" s="69" t="n">
        <v>1</v>
      </c>
      <c r="H47" s="19" t="inlineStr">
        <is>
          <t>Reiseregning fagsamling - Sept 2026 (Handelshøyskolen)</t>
        </is>
      </c>
      <c r="I47" s="18">
        <f>IF(E47=F47, "BRUDD: Egengodkjenning", IF(G47=0, "MANGLER BILAG", "OK"))</f>
        <v/>
      </c>
    </row>
    <row r="48">
      <c r="A48" s="7" t="inlineStr">
        <is>
          <t>TX-9042</t>
        </is>
      </c>
      <c r="B48" s="7" t="inlineStr">
        <is>
          <t>7130</t>
        </is>
      </c>
      <c r="C48" s="6" t="inlineStr">
        <is>
          <t>Reiseregning fagsamling - Sept 2026 (Teknologi og Realfag)</t>
        </is>
      </c>
      <c r="D48" s="34" t="n">
        <v>6115.09</v>
      </c>
      <c r="E48" s="7" t="inlineStr">
        <is>
          <t>EMP-112</t>
        </is>
      </c>
      <c r="F48" s="7" t="inlineStr">
        <is>
          <t>EMP-101</t>
        </is>
      </c>
      <c r="G48" s="66" t="n">
        <v>1</v>
      </c>
      <c r="H48" s="6" t="inlineStr">
        <is>
          <t>Reiseregning fagsamling - Sept 2026 (Teknologi og Realfag)</t>
        </is>
      </c>
      <c r="I48" s="6">
        <f>IF(E48=F48, "BRUDD: Egengodkjenning", IF(G48=0, "MANGLER BILAG", "OK"))</f>
        <v/>
      </c>
    </row>
    <row r="49">
      <c r="A49" s="7" t="inlineStr">
        <is>
          <t>TX-9043</t>
        </is>
      </c>
      <c r="B49" s="7" t="inlineStr">
        <is>
          <t>7130</t>
        </is>
      </c>
      <c r="C49" s="6" t="inlineStr">
        <is>
          <t>Reiseregning fagsamling - Sept 2026 (Teknologi og Realfag)</t>
        </is>
      </c>
      <c r="D49" s="34" t="n">
        <v>3974.75</v>
      </c>
      <c r="E49" s="7" t="inlineStr">
        <is>
          <t>EMP-111</t>
        </is>
      </c>
      <c r="F49" s="7" t="inlineStr">
        <is>
          <t>EMP-112</t>
        </is>
      </c>
      <c r="G49" s="66" t="n">
        <v>1</v>
      </c>
      <c r="H49" s="6" t="inlineStr">
        <is>
          <t>Reiseregning fagsamling - Sept 2026 (Teknologi og Realfag)</t>
        </is>
      </c>
      <c r="I49" s="6">
        <f>IF(E49=F49, "BRUDD: Egengodkjenning", IF(G49=0, "MANGLER BILAG", "OK"))</f>
        <v/>
      </c>
    </row>
    <row r="50">
      <c r="A50" s="7" t="inlineStr">
        <is>
          <t>TX-9044</t>
        </is>
      </c>
      <c r="B50" s="7" t="inlineStr">
        <is>
          <t>3400</t>
        </is>
      </c>
      <c r="C50" s="6" t="inlineStr">
        <is>
          <t>Oppdragsinntekter BOA - Sept 2026 (Teknologi og Realfag)</t>
        </is>
      </c>
      <c r="D50" s="34" t="n">
        <v>-46628.5</v>
      </c>
      <c r="E50" s="7" t="inlineStr">
        <is>
          <t>EMP-102</t>
        </is>
      </c>
      <c r="F50" s="7" t="inlineStr">
        <is>
          <t>EMP-101</t>
        </is>
      </c>
      <c r="G50" s="66" t="n">
        <v>1</v>
      </c>
      <c r="H50" s="6" t="inlineStr">
        <is>
          <t>Oppdragsinntekter BOA - Sept 2026 (Teknologi og Realfag)</t>
        </is>
      </c>
      <c r="I50" s="6">
        <f>IF(E50=F50, "BRUDD: Egengodkjenning", IF(G50=0, "MANGLER BILAG", "OK"))</f>
        <v/>
      </c>
    </row>
    <row r="51">
      <c r="A51" s="7" t="inlineStr">
        <is>
          <t>TX-9045</t>
        </is>
      </c>
      <c r="B51" s="7" t="inlineStr">
        <is>
          <t>5330</t>
        </is>
      </c>
      <c r="C51" s="6" t="inlineStr">
        <is>
          <t>Sensorhonorarer - Sept 2026 (Handelshøyskolen)</t>
        </is>
      </c>
      <c r="D51" s="34" t="n">
        <v>12140.21</v>
      </c>
      <c r="E51" s="7" t="inlineStr">
        <is>
          <t>EMP-112</t>
        </is>
      </c>
      <c r="F51" s="7" t="inlineStr">
        <is>
          <t>EMP-111</t>
        </is>
      </c>
      <c r="G51" s="66" t="n">
        <v>1</v>
      </c>
      <c r="H51" s="6" t="inlineStr">
        <is>
          <t>Sensorhonorarer - Sept 2026 (Handelshøyskolen)</t>
        </is>
      </c>
      <c r="I51" s="6">
        <f>IF(E51=F51, "BRUDD: Egengodkjenning", IF(G51=0, "MANGLER BILAG", "OK"))</f>
        <v/>
      </c>
    </row>
    <row r="52">
      <c r="A52" s="7" t="inlineStr">
        <is>
          <t>TX-9046</t>
        </is>
      </c>
      <c r="B52" s="7" t="inlineStr">
        <is>
          <t>6800</t>
        </is>
      </c>
      <c r="C52" s="6" t="inlineStr">
        <is>
          <t>Kontorrekvisita - Sept 2026 (Handelshøyskolen)</t>
        </is>
      </c>
      <c r="D52" s="34" t="n">
        <v>2296.11</v>
      </c>
      <c r="E52" s="7" t="inlineStr">
        <is>
          <t>EMP-111</t>
        </is>
      </c>
      <c r="F52" s="7" t="inlineStr">
        <is>
          <t>EMP-112</t>
        </is>
      </c>
      <c r="G52" s="66" t="n">
        <v>1</v>
      </c>
      <c r="H52" s="6" t="inlineStr">
        <is>
          <t>Kontorrekvisita - Sept 2026 (Handelshøyskolen)</t>
        </is>
      </c>
      <c r="I52" s="6">
        <f>IF(E52=F52, "BRUDD: Egengodkjenning", IF(G52=0, "MANGLER BILAG", "OK"))</f>
        <v/>
      </c>
    </row>
    <row r="53">
      <c r="A53" s="7" t="inlineStr">
        <is>
          <t>TX-9047</t>
        </is>
      </c>
      <c r="B53" s="7" t="inlineStr">
        <is>
          <t>5000</t>
        </is>
      </c>
      <c r="C53" s="6" t="inlineStr">
        <is>
          <t>Fast Lønn - Sept 2026 (Handelshøyskolen)</t>
        </is>
      </c>
      <c r="D53" s="34" t="n">
        <v>41503.99</v>
      </c>
      <c r="E53" s="7" t="inlineStr">
        <is>
          <t>EMP-107</t>
        </is>
      </c>
      <c r="F53" s="7" t="inlineStr">
        <is>
          <t>EMP-102</t>
        </is>
      </c>
      <c r="G53" s="66" t="n">
        <v>1</v>
      </c>
      <c r="H53" s="6" t="inlineStr">
        <is>
          <t>Fast Lønn - Sept 2026 (Handelshøyskolen)</t>
        </is>
      </c>
      <c r="I53" s="6">
        <f>IF(E53=F53, "BRUDD: Egengodkjenning", IF(G53=0, "MANGLER BILAG", "OK"))</f>
        <v/>
      </c>
    </row>
    <row r="54">
      <c r="A54" s="7" t="inlineStr">
        <is>
          <t>TX-9048</t>
        </is>
      </c>
      <c r="B54" s="7" t="inlineStr">
        <is>
          <t>6800</t>
        </is>
      </c>
      <c r="C54" s="6" t="inlineStr">
        <is>
          <t>Kontorrekvisita - Sept 2026 (Teknologi og Realfag)</t>
        </is>
      </c>
      <c r="D54" s="34" t="n">
        <v>1726.83</v>
      </c>
      <c r="E54" s="7" t="inlineStr">
        <is>
          <t>EMP-105</t>
        </is>
      </c>
      <c r="F54" s="7" t="inlineStr">
        <is>
          <t>EMP-103</t>
        </is>
      </c>
      <c r="G54" s="66" t="n">
        <v>1</v>
      </c>
      <c r="H54" s="6" t="inlineStr">
        <is>
          <t>Kontorrekvisita - Sept 2026 (Teknologi og Realfag)</t>
        </is>
      </c>
      <c r="I54" s="6">
        <f>IF(E54=F54, "BRUDD: Egengodkjenning", IF(G54=0, "MANGLER BILAG", "OK"))</f>
        <v/>
      </c>
    </row>
    <row r="55">
      <c r="A55" s="67" t="inlineStr">
        <is>
          <t>TX-9049</t>
        </is>
      </c>
      <c r="B55" s="67" t="inlineStr">
        <is>
          <t>6300</t>
        </is>
      </c>
      <c r="C55" s="19" t="inlineStr">
        <is>
          <t>Kontorleie &amp; Strøm - Sept 2026 (Fellesadministrasjon)</t>
        </is>
      </c>
      <c r="D55" s="72" t="n">
        <v>31478.39</v>
      </c>
      <c r="E55" s="67" t="inlineStr">
        <is>
          <t>EMP-108</t>
        </is>
      </c>
      <c r="F55" s="67" t="inlineStr">
        <is>
          <t>EMP-108</t>
        </is>
      </c>
      <c r="G55" s="69" t="n">
        <v>1</v>
      </c>
      <c r="H55" s="19" t="inlineStr">
        <is>
          <t>Kontorleie &amp; Strøm - Sept 2026 (Fellesadministrasjon)</t>
        </is>
      </c>
      <c r="I55" s="18">
        <f>IF(E55=F55, "BRUDD: Egengodkjenning", IF(G55=0, "MANGLER BILAG", "OK"))</f>
        <v/>
      </c>
    </row>
    <row r="56">
      <c r="A56" s="7" t="inlineStr">
        <is>
          <t>TX-9050</t>
        </is>
      </c>
      <c r="B56" s="7" t="inlineStr">
        <is>
          <t>6300</t>
        </is>
      </c>
      <c r="C56" s="6" t="inlineStr">
        <is>
          <t>Kontorleie &amp; Strøm - Sept 2026 (Helse- og Idrettsvitenskap)</t>
        </is>
      </c>
      <c r="D56" s="34" t="n">
        <v>29630.96</v>
      </c>
      <c r="E56" s="7" t="inlineStr">
        <is>
          <t>EMP-109</t>
        </is>
      </c>
      <c r="F56" s="7" t="inlineStr">
        <is>
          <t>EMP-105</t>
        </is>
      </c>
      <c r="G56" s="66" t="n">
        <v>1</v>
      </c>
      <c r="H56" s="6" t="inlineStr">
        <is>
          <t>Kontorleie &amp; Strøm - Sept 2026 (Helse- og Idrettsvitenskap)</t>
        </is>
      </c>
      <c r="I56" s="6">
        <f>IF(E56=F56, "BRUDD: Egengodkjenning", IF(G56=0, "MANGLER BILAG", "OK"))</f>
        <v/>
      </c>
    </row>
    <row r="57">
      <c r="A57" s="7" t="inlineStr">
        <is>
          <t>TX-9051</t>
        </is>
      </c>
      <c r="B57" s="7" t="inlineStr">
        <is>
          <t>5330</t>
        </is>
      </c>
      <c r="C57" s="6" t="inlineStr">
        <is>
          <t>Sensorhonorarer - Sept 2026 (Handelshøyskolen)</t>
        </is>
      </c>
      <c r="D57" s="34" t="n">
        <v>14965.63</v>
      </c>
      <c r="E57" s="7" t="inlineStr">
        <is>
          <t>EMP-112</t>
        </is>
      </c>
      <c r="F57" s="7" t="inlineStr">
        <is>
          <t>EMP-101</t>
        </is>
      </c>
      <c r="G57" s="66" t="n">
        <v>1</v>
      </c>
      <c r="H57" s="6" t="inlineStr">
        <is>
          <t>Sensorhonorarer - Sept 2026 (Handelshøyskolen)</t>
        </is>
      </c>
      <c r="I57" s="6">
        <f>IF(E57=F57, "BRUDD: Egengodkjenning", IF(G57=0, "MANGLER BILAG", "OK"))</f>
        <v/>
      </c>
    </row>
    <row r="58">
      <c r="A58" s="7" t="inlineStr">
        <is>
          <t>TX-9052</t>
        </is>
      </c>
      <c r="B58" s="7" t="inlineStr">
        <is>
          <t>5330</t>
        </is>
      </c>
      <c r="C58" s="6" t="inlineStr">
        <is>
          <t>Sensorhonorarer - Sept 2026 (Fellesadministrasjon)</t>
        </is>
      </c>
      <c r="D58" s="34" t="n">
        <v>10475.13</v>
      </c>
      <c r="E58" s="7" t="inlineStr">
        <is>
          <t>EMP-103</t>
        </is>
      </c>
      <c r="F58" s="7" t="inlineStr">
        <is>
          <t>EMP-108</t>
        </is>
      </c>
      <c r="G58" s="66" t="n">
        <v>1</v>
      </c>
      <c r="H58" s="6" t="inlineStr">
        <is>
          <t>Sensorhonorarer - Sept 2026 (Fellesadministrasjon)</t>
        </is>
      </c>
      <c r="I58" s="6">
        <f>IF(E58=F58, "BRUDD: Egengodkjenning", IF(G58=0, "MANGLER BILAG", "OK"))</f>
        <v/>
      </c>
    </row>
    <row r="59">
      <c r="A59" s="67" t="inlineStr">
        <is>
          <t>TX-9053</t>
        </is>
      </c>
      <c r="B59" s="67" t="inlineStr">
        <is>
          <t>6300</t>
        </is>
      </c>
      <c r="C59" s="19" t="inlineStr">
        <is>
          <t>Kontorleie &amp; Strøm - Sept 2026 (Fellesadministrasjon)</t>
        </is>
      </c>
      <c r="D59" s="72" t="n">
        <v>43780.71</v>
      </c>
      <c r="E59" s="67" t="inlineStr">
        <is>
          <t>EMP-110</t>
        </is>
      </c>
      <c r="F59" s="67" t="inlineStr">
        <is>
          <t>EMP-110</t>
        </is>
      </c>
      <c r="G59" s="69" t="n">
        <v>1</v>
      </c>
      <c r="H59" s="19" t="inlineStr">
        <is>
          <t>Kontorleie &amp; Strøm - Sept 2026 (Fellesadministrasjon)</t>
        </is>
      </c>
      <c r="I59" s="18">
        <f>IF(E59=F59, "BRUDD: Egengodkjenning", IF(G59=0, "MANGLER BILAG", "OK"))</f>
        <v/>
      </c>
    </row>
    <row r="60">
      <c r="A60" s="7" t="inlineStr">
        <is>
          <t>TX-9054</t>
        </is>
      </c>
      <c r="B60" s="7" t="inlineStr">
        <is>
          <t>6300</t>
        </is>
      </c>
      <c r="C60" s="6" t="inlineStr">
        <is>
          <t>Kontorleie &amp; Strøm - Sept 2026 (Helse- og Idrettsvitenskap)</t>
        </is>
      </c>
      <c r="D60" s="34" t="n">
        <v>44385.45</v>
      </c>
      <c r="E60" s="7" t="inlineStr">
        <is>
          <t>EMP-101</t>
        </is>
      </c>
      <c r="F60" s="7" t="inlineStr">
        <is>
          <t>EMP-108</t>
        </is>
      </c>
      <c r="G60" s="66" t="n">
        <v>1</v>
      </c>
      <c r="H60" s="6" t="inlineStr">
        <is>
          <t>Kontorleie &amp; Strøm - Sept 2026 (Helse- og Idrettsvitenskap)</t>
        </is>
      </c>
      <c r="I60" s="6">
        <f>IF(E60=F60, "BRUDD: Egengodkjenning", IF(G60=0, "MANGLER BILAG", "OK"))</f>
        <v/>
      </c>
    </row>
    <row r="61">
      <c r="A61" s="67" t="inlineStr">
        <is>
          <t>TX-9055</t>
        </is>
      </c>
      <c r="B61" s="67" t="inlineStr">
        <is>
          <t>7100</t>
        </is>
      </c>
      <c r="C61" s="19" t="inlineStr">
        <is>
          <t>Bilgodtgjørelse feltarbeid - Sept 2026 (Fellesadministrasjon)</t>
        </is>
      </c>
      <c r="D61" s="72" t="n">
        <v>2151.26</v>
      </c>
      <c r="E61" s="67" t="inlineStr">
        <is>
          <t>EMP-112</t>
        </is>
      </c>
      <c r="F61" s="67" t="inlineStr">
        <is>
          <t>EMP-112</t>
        </is>
      </c>
      <c r="G61" s="69" t="n">
        <v>1</v>
      </c>
      <c r="H61" s="19" t="inlineStr">
        <is>
          <t>Bilgodtgjørelse feltarbeid - Sept 2026 (Fellesadministrasjon)</t>
        </is>
      </c>
      <c r="I61" s="18">
        <f>IF(E61=F61, "BRUDD: Egengodkjenning", IF(G61=0, "MANGLER BILAG", "OK"))</f>
        <v/>
      </c>
    </row>
    <row r="62">
      <c r="A62" s="7" t="inlineStr">
        <is>
          <t>TX-9056</t>
        </is>
      </c>
      <c r="B62" s="7" t="inlineStr">
        <is>
          <t>6800</t>
        </is>
      </c>
      <c r="C62" s="6" t="inlineStr">
        <is>
          <t>Kontorrekvisita - Sept 2026 (Teknologi og Realfag)</t>
        </is>
      </c>
      <c r="D62" s="34" t="n">
        <v>1581.19</v>
      </c>
      <c r="E62" s="7" t="inlineStr">
        <is>
          <t>EMP-105</t>
        </is>
      </c>
      <c r="F62" s="7" t="inlineStr">
        <is>
          <t>EMP-102</t>
        </is>
      </c>
      <c r="G62" s="66" t="n">
        <v>1</v>
      </c>
      <c r="H62" s="6" t="inlineStr">
        <is>
          <t>Kontorrekvisita - Sept 2026 (Teknologi og Realfag)</t>
        </is>
      </c>
      <c r="I62" s="6">
        <f>IF(E62=F62, "BRUDD: Egengodkjenning", IF(G62=0, "MANGLER BILAG", "OK"))</f>
        <v/>
      </c>
    </row>
    <row r="63">
      <c r="A63" s="7" t="inlineStr">
        <is>
          <t>TX-9057</t>
        </is>
      </c>
      <c r="B63" s="7" t="inlineStr">
        <is>
          <t>6300</t>
        </is>
      </c>
      <c r="C63" s="6" t="inlineStr">
        <is>
          <t>Kontorleie &amp; Strøm - Sept 2026 (Teknologi og Realfag)</t>
        </is>
      </c>
      <c r="D63" s="34" t="n">
        <v>31639.32</v>
      </c>
      <c r="E63" s="7" t="inlineStr">
        <is>
          <t>EMP-107</t>
        </is>
      </c>
      <c r="F63" s="7" t="inlineStr">
        <is>
          <t>EMP-108</t>
        </is>
      </c>
      <c r="G63" s="66" t="n">
        <v>1</v>
      </c>
      <c r="H63" s="6" t="inlineStr">
        <is>
          <t>Kontorleie &amp; Strøm - Sept 2026 (Teknologi og Realfag)</t>
        </is>
      </c>
      <c r="I63" s="6">
        <f>IF(E63=F63, "BRUDD: Egengodkjenning", IF(G63=0, "MANGLER BILAG", "OK"))</f>
        <v/>
      </c>
    </row>
    <row r="64">
      <c r="A64" s="7" t="inlineStr">
        <is>
          <t>TX-9058</t>
        </is>
      </c>
      <c r="B64" s="7" t="inlineStr">
        <is>
          <t>7150</t>
        </is>
      </c>
      <c r="C64" s="6" t="inlineStr">
        <is>
          <t>Utenlandsreise fagkonferanse - Sept 2026 (Handelshøyskolen)</t>
        </is>
      </c>
      <c r="D64" s="34" t="n">
        <v>20078.03</v>
      </c>
      <c r="E64" s="7" t="inlineStr">
        <is>
          <t>EMP-110</t>
        </is>
      </c>
      <c r="F64" s="7" t="inlineStr">
        <is>
          <t>EMP-104</t>
        </is>
      </c>
      <c r="G64" s="66" t="n">
        <v>0</v>
      </c>
      <c r="H64" s="6" t="inlineStr">
        <is>
          <t>Utenlandsreise fagkonferanse - Sept 2026 (Handelshøyskolen)</t>
        </is>
      </c>
      <c r="I64" s="6">
        <f>IF(E64=F64, "BRUDD: Egengodkjenning", IF(G64=0, "MANGLER BILAG", "OK"))</f>
        <v/>
      </c>
    </row>
    <row r="65">
      <c r="A65" s="7" t="inlineStr">
        <is>
          <t>TX-9059</t>
        </is>
      </c>
      <c r="B65" s="7" t="inlineStr">
        <is>
          <t>7130</t>
        </is>
      </c>
      <c r="C65" s="6" t="inlineStr">
        <is>
          <t>Reiseregning fagsamling - Sept 2026 (Teknologi og Realfag)</t>
        </is>
      </c>
      <c r="D65" s="34" t="n">
        <v>3850.61</v>
      </c>
      <c r="E65" s="7" t="inlineStr">
        <is>
          <t>EMP-103</t>
        </is>
      </c>
      <c r="F65" s="7" t="inlineStr">
        <is>
          <t>EMP-109</t>
        </is>
      </c>
      <c r="G65" s="66" t="n">
        <v>1</v>
      </c>
      <c r="H65" s="6" t="inlineStr">
        <is>
          <t>Reiseregning fagsamling - Sept 2026 (Teknologi og Realfag)</t>
        </is>
      </c>
      <c r="I65" s="6">
        <f>IF(E65=F65, "BRUDD: Egengodkjenning", IF(G65=0, "MANGLER BILAG", "OK"))</f>
        <v/>
      </c>
    </row>
    <row r="66">
      <c r="A66" s="7" t="inlineStr">
        <is>
          <t>TX-9060</t>
        </is>
      </c>
      <c r="B66" s="7" t="inlineStr">
        <is>
          <t>7130</t>
        </is>
      </c>
      <c r="C66" s="6" t="inlineStr">
        <is>
          <t>Reiseregning fagsamling - Sept 2026 (Teknologi og Realfag)</t>
        </is>
      </c>
      <c r="D66" s="34" t="n">
        <v>4248.73</v>
      </c>
      <c r="E66" s="7" t="inlineStr">
        <is>
          <t>EMP-114</t>
        </is>
      </c>
      <c r="F66" s="7" t="inlineStr">
        <is>
          <t>EMP-104</t>
        </is>
      </c>
      <c r="G66" s="66" t="n">
        <v>1</v>
      </c>
      <c r="H66" s="6" t="inlineStr">
        <is>
          <t>Reiseregning fagsamling - Sept 2026 (Teknologi og Realfag)</t>
        </is>
      </c>
      <c r="I66" s="6">
        <f>IF(E66=F66, "BRUDD: Egengodkjenning", IF(G66=0, "MANGLER BILAG", "OK"))</f>
        <v/>
      </c>
    </row>
    <row r="67">
      <c r="A67" s="7" t="inlineStr">
        <is>
          <t>TX-9061</t>
        </is>
      </c>
      <c r="B67" s="7" t="inlineStr">
        <is>
          <t>5000</t>
        </is>
      </c>
      <c r="C67" s="6" t="inlineStr">
        <is>
          <t>Fast Lønn - Sept 2026 (Handelshøyskolen)</t>
        </is>
      </c>
      <c r="D67" s="34" t="n">
        <v>39562.78</v>
      </c>
      <c r="E67" s="7" t="inlineStr">
        <is>
          <t>EMP-108</t>
        </is>
      </c>
      <c r="F67" s="7" t="inlineStr">
        <is>
          <t>EMP-106</t>
        </is>
      </c>
      <c r="G67" s="66" t="n">
        <v>1</v>
      </c>
      <c r="H67" s="6" t="inlineStr">
        <is>
          <t>Fast Lønn - Sept 2026 (Handelshøyskolen)</t>
        </is>
      </c>
      <c r="I67" s="6">
        <f>IF(E67=F67, "BRUDD: Egengodkjenning", IF(G67=0, "MANGLER BILAG", "OK"))</f>
        <v/>
      </c>
    </row>
    <row r="68">
      <c r="A68" s="7" t="inlineStr">
        <is>
          <t>TX-9062</t>
        </is>
      </c>
      <c r="B68" s="7" t="inlineStr">
        <is>
          <t>5330</t>
        </is>
      </c>
      <c r="C68" s="6" t="inlineStr">
        <is>
          <t>Sensorhonorarer - Sept 2026 (Fellesadministrasjon)</t>
        </is>
      </c>
      <c r="D68" s="34" t="n">
        <v>9055.049999999999</v>
      </c>
      <c r="E68" s="7" t="inlineStr">
        <is>
          <t>EMP-110</t>
        </is>
      </c>
      <c r="F68" s="7" t="inlineStr">
        <is>
          <t>EMP-105</t>
        </is>
      </c>
      <c r="G68" s="66" t="n">
        <v>1</v>
      </c>
      <c r="H68" s="6" t="inlineStr">
        <is>
          <t>Sensorhonorarer - Sept 2026 (Fellesadministrasjon)</t>
        </is>
      </c>
      <c r="I68" s="6">
        <f>IF(E68=F68, "BRUDD: Egengodkjenning", IF(G68=0, "MANGLER BILAG", "OK"))</f>
        <v/>
      </c>
    </row>
    <row r="69">
      <c r="A69" s="7" t="inlineStr">
        <is>
          <t>TX-9063</t>
        </is>
      </c>
      <c r="B69" s="7" t="inlineStr">
        <is>
          <t>3400</t>
        </is>
      </c>
      <c r="C69" s="6" t="inlineStr">
        <is>
          <t>Oppdragsinntekter BOA - Sept 2026 (Fellesadministrasjon)</t>
        </is>
      </c>
      <c r="D69" s="34" t="n">
        <v>-59704.24</v>
      </c>
      <c r="E69" s="7" t="inlineStr">
        <is>
          <t>EMP-113</t>
        </is>
      </c>
      <c r="F69" s="7" t="inlineStr">
        <is>
          <t>EMP-103</t>
        </is>
      </c>
      <c r="G69" s="66" t="n">
        <v>1</v>
      </c>
      <c r="H69" s="6" t="inlineStr">
        <is>
          <t>Oppdragsinntekter BOA - Sept 2026 (Fellesadministrasjon)</t>
        </is>
      </c>
      <c r="I69" s="6">
        <f>IF(E69=F69, "BRUDD: Egengodkjenning", IF(G69=0, "MANGLER BILAG", "OK"))</f>
        <v/>
      </c>
    </row>
    <row r="70">
      <c r="A70" s="7" t="inlineStr">
        <is>
          <t>TX-9064</t>
        </is>
      </c>
      <c r="B70" s="7" t="inlineStr">
        <is>
          <t>5000</t>
        </is>
      </c>
      <c r="C70" s="6" t="inlineStr">
        <is>
          <t>Fast Lønn - Sept 2026 (Fellesadministrasjon)</t>
        </is>
      </c>
      <c r="D70" s="34" t="n">
        <v>54535.67</v>
      </c>
      <c r="E70" s="7" t="inlineStr">
        <is>
          <t>EMP-107</t>
        </is>
      </c>
      <c r="F70" s="7" t="inlineStr">
        <is>
          <t>EMP-103</t>
        </is>
      </c>
      <c r="G70" s="66" t="n">
        <v>1</v>
      </c>
      <c r="H70" s="6" t="inlineStr">
        <is>
          <t>Fast Lønn - Sept 2026 (Fellesadministrasjon)</t>
        </is>
      </c>
      <c r="I70" s="6">
        <f>IF(E70=F70, "BRUDD: Egengodkjenning", IF(G70=0, "MANGLER BILAG", "OK"))</f>
        <v/>
      </c>
    </row>
    <row r="71">
      <c r="A71" s="7" t="inlineStr">
        <is>
          <t>TX-9065</t>
        </is>
      </c>
      <c r="B71" s="7" t="inlineStr">
        <is>
          <t>5000</t>
        </is>
      </c>
      <c r="C71" s="6" t="inlineStr">
        <is>
          <t>Fast Lønn - Sept 2026 (Helse- og Idrettsvitenskap)</t>
        </is>
      </c>
      <c r="D71" s="34" t="n">
        <v>38388.93</v>
      </c>
      <c r="E71" s="7" t="inlineStr">
        <is>
          <t>EMP-101</t>
        </is>
      </c>
      <c r="F71" s="7" t="inlineStr">
        <is>
          <t>EMP-111</t>
        </is>
      </c>
      <c r="G71" s="66" t="n">
        <v>1</v>
      </c>
      <c r="H71" s="6" t="inlineStr">
        <is>
          <t>Fast Lønn - Sept 2026 (Helse- og Idrettsvitenskap)</t>
        </is>
      </c>
      <c r="I71" s="6">
        <f>IF(E71=F71, "BRUDD: Egengodkjenning", IF(G71=0, "MANGLER BILAG", "OK"))</f>
        <v/>
      </c>
    </row>
    <row r="72">
      <c r="A72" s="7" t="inlineStr">
        <is>
          <t>TX-9066</t>
        </is>
      </c>
      <c r="B72" s="7" t="inlineStr">
        <is>
          <t>7100</t>
        </is>
      </c>
      <c r="C72" s="6" t="inlineStr">
        <is>
          <t>Bilgodtgjørelse feltarbeid - Sept 2026 (Fellesadministrasjon)</t>
        </is>
      </c>
      <c r="D72" s="34" t="n">
        <v>2810.83</v>
      </c>
      <c r="E72" s="7" t="inlineStr">
        <is>
          <t>EMP-107</t>
        </is>
      </c>
      <c r="F72" s="7" t="inlineStr">
        <is>
          <t>EMP-101</t>
        </is>
      </c>
      <c r="G72" s="66" t="n">
        <v>1</v>
      </c>
      <c r="H72" s="6" t="inlineStr">
        <is>
          <t>Bilgodtgjørelse feltarbeid - Sept 2026 (Fellesadministrasjon)</t>
        </is>
      </c>
      <c r="I72" s="6">
        <f>IF(E72=F72, "BRUDD: Egengodkjenning", IF(G72=0, "MANGLER BILAG", "OK"))</f>
        <v/>
      </c>
    </row>
    <row r="73">
      <c r="A73" s="7" t="inlineStr">
        <is>
          <t>TX-9067</t>
        </is>
      </c>
      <c r="B73" s="7" t="inlineStr">
        <is>
          <t>6800</t>
        </is>
      </c>
      <c r="C73" s="6" t="inlineStr">
        <is>
          <t>Kontorrekvisita - Sept 2026 (Teknologi og Realfag)</t>
        </is>
      </c>
      <c r="D73" s="34" t="n">
        <v>1317.49</v>
      </c>
      <c r="E73" s="7" t="inlineStr">
        <is>
          <t>EMP-105</t>
        </is>
      </c>
      <c r="F73" s="7" t="inlineStr">
        <is>
          <t>EMP-101</t>
        </is>
      </c>
      <c r="G73" s="66" t="n">
        <v>1</v>
      </c>
      <c r="H73" s="6" t="inlineStr">
        <is>
          <t>Kontorrekvisita - Sept 2026 (Teknologi og Realfag)</t>
        </is>
      </c>
      <c r="I73" s="6">
        <f>IF(E73=F73, "BRUDD: Egengodkjenning", IF(G73=0, "MANGLER BILAG", "OK"))</f>
        <v/>
      </c>
    </row>
    <row r="74">
      <c r="A74" s="7" t="inlineStr">
        <is>
          <t>TX-9068</t>
        </is>
      </c>
      <c r="B74" s="7" t="inlineStr">
        <is>
          <t>3400</t>
        </is>
      </c>
      <c r="C74" s="6" t="inlineStr">
        <is>
          <t>Oppdragsinntekter BOA - Sept 2026 (Teknologi og Realfag)</t>
        </is>
      </c>
      <c r="D74" s="34" t="n">
        <v>-54009.08</v>
      </c>
      <c r="E74" s="7" t="inlineStr">
        <is>
          <t>EMP-114</t>
        </is>
      </c>
      <c r="F74" s="7" t="inlineStr">
        <is>
          <t>EMP-113</t>
        </is>
      </c>
      <c r="G74" s="66" t="n">
        <v>1</v>
      </c>
      <c r="H74" s="6" t="inlineStr">
        <is>
          <t>Oppdragsinntekter BOA - Sept 2026 (Teknologi og Realfag)</t>
        </is>
      </c>
      <c r="I74" s="6">
        <f>IF(E74=F74, "BRUDD: Egengodkjenning", IF(G74=0, "MANGLER BILAG", "OK"))</f>
        <v/>
      </c>
    </row>
    <row r="75">
      <c r="A75" s="7" t="inlineStr">
        <is>
          <t>TX-9069</t>
        </is>
      </c>
      <c r="B75" s="7" t="inlineStr">
        <is>
          <t>7150</t>
        </is>
      </c>
      <c r="C75" s="6" t="inlineStr">
        <is>
          <t>Utenlandsreise fagkonferanse - Sept 2026 (Teknologi og Realfag)</t>
        </is>
      </c>
      <c r="D75" s="34" t="n">
        <v>21208.85</v>
      </c>
      <c r="E75" s="7" t="inlineStr">
        <is>
          <t>EMP-103</t>
        </is>
      </c>
      <c r="F75" s="7" t="inlineStr">
        <is>
          <t>EMP-101</t>
        </is>
      </c>
      <c r="G75" s="66" t="n">
        <v>1</v>
      </c>
      <c r="H75" s="6" t="inlineStr">
        <is>
          <t>Utenlandsreise fagkonferanse - Sept 2026 (Teknologi og Realfag)</t>
        </is>
      </c>
      <c r="I75" s="6">
        <f>IF(E75=F75, "BRUDD: Egengodkjenning", IF(G75=0, "MANGLER BILAG", "OK"))</f>
        <v/>
      </c>
    </row>
    <row r="76">
      <c r="A76" s="67" t="inlineStr">
        <is>
          <t>TX-9070</t>
        </is>
      </c>
      <c r="B76" s="67" t="inlineStr">
        <is>
          <t>3400</t>
        </is>
      </c>
      <c r="C76" s="19" t="inlineStr">
        <is>
          <t>Oppdragsinntekter BOA - Sept 2026 (Helse- og Idrettsvitenskap)</t>
        </is>
      </c>
      <c r="D76" s="72" t="n">
        <v>-65604.32000000001</v>
      </c>
      <c r="E76" s="67" t="inlineStr">
        <is>
          <t>EMP-111</t>
        </is>
      </c>
      <c r="F76" s="67" t="inlineStr">
        <is>
          <t>EMP-111</t>
        </is>
      </c>
      <c r="G76" s="69" t="n">
        <v>1</v>
      </c>
      <c r="H76" s="19" t="inlineStr">
        <is>
          <t>Oppdragsinntekter BOA - Sept 2026 (Helse- og Idrettsvitenskap)</t>
        </is>
      </c>
      <c r="I76" s="18">
        <f>IF(E76=F76, "BRUDD: Egengodkjenning", IF(G76=0, "MANGLER BILAG", "OK"))</f>
        <v/>
      </c>
    </row>
    <row r="77">
      <c r="A77" s="67" t="inlineStr">
        <is>
          <t>TX-9071</t>
        </is>
      </c>
      <c r="B77" s="67" t="inlineStr">
        <is>
          <t>7130</t>
        </is>
      </c>
      <c r="C77" s="19" t="inlineStr">
        <is>
          <t>Reiseregning fagsamling - Sept 2026 (Handelshøyskolen)</t>
        </is>
      </c>
      <c r="D77" s="72" t="n">
        <v>3419.92</v>
      </c>
      <c r="E77" s="67" t="inlineStr">
        <is>
          <t>EMP-104</t>
        </is>
      </c>
      <c r="F77" s="67" t="inlineStr">
        <is>
          <t>EMP-104</t>
        </is>
      </c>
      <c r="G77" s="69" t="n">
        <v>1</v>
      </c>
      <c r="H77" s="19" t="inlineStr">
        <is>
          <t>Reiseregning fagsamling - Sept 2026 (Handelshøyskolen)</t>
        </is>
      </c>
      <c r="I77" s="18">
        <f>IF(E77=F77, "BRUDD: Egengodkjenning", IF(G77=0, "MANGLER BILAG", "OK"))</f>
        <v/>
      </c>
    </row>
    <row r="78">
      <c r="A78" s="7" t="inlineStr">
        <is>
          <t>TX-9072</t>
        </is>
      </c>
      <c r="B78" s="7" t="inlineStr">
        <is>
          <t>5330</t>
        </is>
      </c>
      <c r="C78" s="6" t="inlineStr">
        <is>
          <t>Sensorhonorarer - Sept 2026 (Helse- og Idrettsvitenskap)</t>
        </is>
      </c>
      <c r="D78" s="34" t="n">
        <v>13057.12</v>
      </c>
      <c r="E78" s="7" t="inlineStr">
        <is>
          <t>EMP-102</t>
        </is>
      </c>
      <c r="F78" s="7" t="inlineStr">
        <is>
          <t>EMP-105</t>
        </is>
      </c>
      <c r="G78" s="66" t="n">
        <v>1</v>
      </c>
      <c r="H78" s="6" t="inlineStr">
        <is>
          <t>Sensorhonorarer - Sept 2026 (Helse- og Idrettsvitenskap)</t>
        </is>
      </c>
      <c r="I78" s="6">
        <f>IF(E78=F78, "BRUDD: Egengodkjenning", IF(G78=0, "MANGLER BILAG", "OK"))</f>
        <v/>
      </c>
    </row>
    <row r="79">
      <c r="A79" s="7" t="inlineStr">
        <is>
          <t>TX-9073</t>
        </is>
      </c>
      <c r="B79" s="7" t="inlineStr">
        <is>
          <t>7130</t>
        </is>
      </c>
      <c r="C79" s="6" t="inlineStr">
        <is>
          <t>Reiseregning fagsamling - Sept 2026 (Handelshøyskolen)</t>
        </is>
      </c>
      <c r="D79" s="34" t="n">
        <v>5531.46</v>
      </c>
      <c r="E79" s="7" t="inlineStr">
        <is>
          <t>EMP-101</t>
        </is>
      </c>
      <c r="F79" s="7" t="inlineStr">
        <is>
          <t>EMP-109</t>
        </is>
      </c>
      <c r="G79" s="66" t="n">
        <v>1</v>
      </c>
      <c r="H79" s="6" t="inlineStr">
        <is>
          <t>Reiseregning fagsamling - Sept 2026 (Handelshøyskolen)</t>
        </is>
      </c>
      <c r="I79" s="6">
        <f>IF(E79=F79, "BRUDD: Egengodkjenning", IF(G79=0, "MANGLER BILAG", "OK"))</f>
        <v/>
      </c>
    </row>
    <row r="80">
      <c r="A80" s="7" t="inlineStr">
        <is>
          <t>TX-9074</t>
        </is>
      </c>
      <c r="B80" s="7" t="inlineStr">
        <is>
          <t>5000</t>
        </is>
      </c>
      <c r="C80" s="6" t="inlineStr">
        <is>
          <t>Fast Lønn - Sept 2026 (Teknologi og Realfag)</t>
        </is>
      </c>
      <c r="D80" s="34" t="n">
        <v>32177.98</v>
      </c>
      <c r="E80" s="7" t="inlineStr">
        <is>
          <t>EMP-106</t>
        </is>
      </c>
      <c r="F80" s="7" t="inlineStr">
        <is>
          <t>EMP-107</t>
        </is>
      </c>
      <c r="G80" s="66" t="n">
        <v>1</v>
      </c>
      <c r="H80" s="6" t="inlineStr">
        <is>
          <t>Fast Lønn - Sept 2026 (Teknologi og Realfag)</t>
        </is>
      </c>
      <c r="I80" s="6">
        <f>IF(E80=F80, "BRUDD: Egengodkjenning", IF(G80=0, "MANGLER BILAG", "OK"))</f>
        <v/>
      </c>
    </row>
    <row r="81">
      <c r="A81" s="7" t="inlineStr">
        <is>
          <t>TX-9075</t>
        </is>
      </c>
      <c r="B81" s="7" t="inlineStr">
        <is>
          <t>5000</t>
        </is>
      </c>
      <c r="C81" s="6" t="inlineStr">
        <is>
          <t>Fast Lønn - Sept 2026 (Teknologi og Realfag)</t>
        </is>
      </c>
      <c r="D81" s="34" t="n">
        <v>49829.34</v>
      </c>
      <c r="E81" s="7" t="inlineStr">
        <is>
          <t>EMP-104</t>
        </is>
      </c>
      <c r="F81" s="7" t="inlineStr">
        <is>
          <t>EMP-112</t>
        </is>
      </c>
      <c r="G81" s="66" t="n">
        <v>1</v>
      </c>
      <c r="H81" s="6" t="inlineStr">
        <is>
          <t>Fast Lønn - Sept 2026 (Teknologi og Realfag)</t>
        </is>
      </c>
      <c r="I81" s="6">
        <f>IF(E81=F81, "BRUDD: Egengodkjenning", IF(G81=0, "MANGLER BILAG", "OK"))</f>
        <v/>
      </c>
    </row>
    <row r="82">
      <c r="A82" s="7" t="inlineStr">
        <is>
          <t>TX-9076</t>
        </is>
      </c>
      <c r="B82" s="7" t="inlineStr">
        <is>
          <t>6800</t>
        </is>
      </c>
      <c r="C82" s="6" t="inlineStr">
        <is>
          <t>Kontorrekvisita - Sept 2026 (Helse- og Idrettsvitenskap)</t>
        </is>
      </c>
      <c r="D82" s="34" t="n">
        <v>1438.46</v>
      </c>
      <c r="E82" s="7" t="inlineStr">
        <is>
          <t>EMP-109</t>
        </is>
      </c>
      <c r="F82" s="7" t="inlineStr">
        <is>
          <t>EMP-113</t>
        </is>
      </c>
      <c r="G82" s="66" t="n">
        <v>1</v>
      </c>
      <c r="H82" s="6" t="inlineStr">
        <is>
          <t>Kontorrekvisita - Sept 2026 (Helse- og Idrettsvitenskap)</t>
        </is>
      </c>
      <c r="I82" s="6">
        <f>IF(E82=F82, "BRUDD: Egengodkjenning", IF(G82=0, "MANGLER BILAG", "OK"))</f>
        <v/>
      </c>
    </row>
    <row r="83">
      <c r="A83" s="7" t="inlineStr">
        <is>
          <t>TX-9077</t>
        </is>
      </c>
      <c r="B83" s="7" t="inlineStr">
        <is>
          <t>3400</t>
        </is>
      </c>
      <c r="C83" s="6" t="inlineStr">
        <is>
          <t>Oppdragsinntekter BOA - Sept 2026 (Helse- og Idrettsvitenskap)</t>
        </is>
      </c>
      <c r="D83" s="34" t="n">
        <v>-53056.74</v>
      </c>
      <c r="E83" s="7" t="inlineStr">
        <is>
          <t>EMP-111</t>
        </is>
      </c>
      <c r="F83" s="7" t="inlineStr">
        <is>
          <t>EMP-101</t>
        </is>
      </c>
      <c r="G83" s="66" t="n">
        <v>1</v>
      </c>
      <c r="H83" s="6" t="inlineStr">
        <is>
          <t>Oppdragsinntekter BOA - Sept 2026 (Helse- og Idrettsvitenskap)</t>
        </is>
      </c>
      <c r="I83" s="6">
        <f>IF(E83=F83, "BRUDD: Egengodkjenning", IF(G83=0, "MANGLER BILAG", "OK"))</f>
        <v/>
      </c>
    </row>
    <row r="84">
      <c r="A84" s="7" t="inlineStr">
        <is>
          <t>TX-9078</t>
        </is>
      </c>
      <c r="B84" s="7" t="inlineStr">
        <is>
          <t>3400</t>
        </is>
      </c>
      <c r="C84" s="6" t="inlineStr">
        <is>
          <t>Oppdragsinntekter BOA - Sept 2026 (Helse- og Idrettsvitenskap)</t>
        </is>
      </c>
      <c r="D84" s="34" t="n">
        <v>-75888.39</v>
      </c>
      <c r="E84" s="7" t="inlineStr">
        <is>
          <t>EMP-113</t>
        </is>
      </c>
      <c r="F84" s="7" t="inlineStr">
        <is>
          <t>EMP-112</t>
        </is>
      </c>
      <c r="G84" s="66" t="n">
        <v>1</v>
      </c>
      <c r="H84" s="6" t="inlineStr">
        <is>
          <t>Oppdragsinntekter BOA - Sept 2026 (Helse- og Idrettsvitenskap)</t>
        </is>
      </c>
      <c r="I84" s="6">
        <f>IF(E84=F84, "BRUDD: Egengodkjenning", IF(G84=0, "MANGLER BILAG", "OK"))</f>
        <v/>
      </c>
    </row>
    <row r="85">
      <c r="A85" s="7" t="inlineStr">
        <is>
          <t>TX-9079</t>
        </is>
      </c>
      <c r="B85" s="7" t="inlineStr">
        <is>
          <t>7150</t>
        </is>
      </c>
      <c r="C85" s="6" t="inlineStr">
        <is>
          <t>Utenlandsreise fagkonferanse - Sept 2026 (Fellesadministrasjon)</t>
        </is>
      </c>
      <c r="D85" s="34" t="n">
        <v>13342.55</v>
      </c>
      <c r="E85" s="7" t="inlineStr">
        <is>
          <t>EMP-104</t>
        </is>
      </c>
      <c r="F85" s="7" t="inlineStr">
        <is>
          <t>EMP-111</t>
        </is>
      </c>
      <c r="G85" s="66" t="n">
        <v>1</v>
      </c>
      <c r="H85" s="6" t="inlineStr">
        <is>
          <t>Utenlandsreise fagkonferanse - Sept 2026 (Fellesadministrasjon)</t>
        </is>
      </c>
      <c r="I85" s="6">
        <f>IF(E85=F85, "BRUDD: Egengodkjenning", IF(G85=0, "MANGLER BILAG", "OK"))</f>
        <v/>
      </c>
    </row>
    <row r="86">
      <c r="A86" s="7" t="inlineStr">
        <is>
          <t>TX-9080</t>
        </is>
      </c>
      <c r="B86" s="7" t="inlineStr">
        <is>
          <t>5000</t>
        </is>
      </c>
      <c r="C86" s="6" t="inlineStr">
        <is>
          <t>Fast Lønn - Sept 2026 (Handelshøyskolen)</t>
        </is>
      </c>
      <c r="D86" s="34" t="n">
        <v>44457.42</v>
      </c>
      <c r="E86" s="7" t="inlineStr">
        <is>
          <t>EMP-114</t>
        </is>
      </c>
      <c r="F86" s="7" t="inlineStr">
        <is>
          <t>EMP-103</t>
        </is>
      </c>
      <c r="G86" s="66" t="n">
        <v>1</v>
      </c>
      <c r="H86" s="6" t="inlineStr">
        <is>
          <t>Fast Lønn - Sept 2026 (Handelshøyskolen)</t>
        </is>
      </c>
      <c r="I86" s="6">
        <f>IF(E86=F86, "BRUDD: Egengodkjenning", IF(G86=0, "MANGLER BILAG", "OK"))</f>
        <v/>
      </c>
    </row>
    <row r="87">
      <c r="A87" s="7" t="inlineStr">
        <is>
          <t>TX-9081</t>
        </is>
      </c>
      <c r="B87" s="7" t="inlineStr">
        <is>
          <t>5000</t>
        </is>
      </c>
      <c r="C87" s="6" t="inlineStr">
        <is>
          <t>Fast Lønn - Sept 2026 (Teknologi og Realfag)</t>
        </is>
      </c>
      <c r="D87" s="34" t="n">
        <v>36190.57</v>
      </c>
      <c r="E87" s="7" t="inlineStr">
        <is>
          <t>EMP-102</t>
        </is>
      </c>
      <c r="F87" s="7" t="inlineStr">
        <is>
          <t>EMP-103</t>
        </is>
      </c>
      <c r="G87" s="66" t="n">
        <v>1</v>
      </c>
      <c r="H87" s="6" t="inlineStr">
        <is>
          <t>Fast Lønn - Sept 2026 (Teknologi og Realfag)</t>
        </is>
      </c>
      <c r="I87" s="6">
        <f>IF(E87=F87, "BRUDD: Egengodkjenning", IF(G87=0, "MANGLER BILAG", "OK"))</f>
        <v/>
      </c>
    </row>
    <row r="88">
      <c r="A88" s="7" t="inlineStr">
        <is>
          <t>TX-9082</t>
        </is>
      </c>
      <c r="B88" s="7" t="inlineStr">
        <is>
          <t>6300</t>
        </is>
      </c>
      <c r="C88" s="6" t="inlineStr">
        <is>
          <t>Kontorleie &amp; Strøm - Sept 2026 (Fellesadministrasjon)</t>
        </is>
      </c>
      <c r="D88" s="34" t="n">
        <v>29307.79</v>
      </c>
      <c r="E88" s="7" t="inlineStr">
        <is>
          <t>EMP-111</t>
        </is>
      </c>
      <c r="F88" s="7" t="inlineStr">
        <is>
          <t>EMP-112</t>
        </is>
      </c>
      <c r="G88" s="66" t="n">
        <v>1</v>
      </c>
      <c r="H88" s="6" t="inlineStr">
        <is>
          <t>Kontorleie &amp; Strøm - Sept 2026 (Fellesadministrasjon)</t>
        </is>
      </c>
      <c r="I88" s="6">
        <f>IF(E88=F88, "BRUDD: Egengodkjenning", IF(G88=0, "MANGLER BILAG", "OK"))</f>
        <v/>
      </c>
    </row>
    <row r="89">
      <c r="A89" s="7" t="inlineStr">
        <is>
          <t>TX-9083</t>
        </is>
      </c>
      <c r="B89" s="7" t="inlineStr">
        <is>
          <t>5330</t>
        </is>
      </c>
      <c r="C89" s="6" t="inlineStr">
        <is>
          <t>Sensorhonorarer - Sept 2026 (Fellesadministrasjon)</t>
        </is>
      </c>
      <c r="D89" s="34" t="n">
        <v>11457.31</v>
      </c>
      <c r="E89" s="7" t="inlineStr">
        <is>
          <t>EMP-106</t>
        </is>
      </c>
      <c r="F89" s="7" t="inlineStr">
        <is>
          <t>EMP-103</t>
        </is>
      </c>
      <c r="G89" s="66" t="n">
        <v>1</v>
      </c>
      <c r="H89" s="6" t="inlineStr">
        <is>
          <t>Sensorhonorarer - Sept 2026 (Fellesadministrasjon)</t>
        </is>
      </c>
      <c r="I89" s="6">
        <f>IF(E89=F89, "BRUDD: Egengodkjenning", IF(G89=0, "MANGLER BILAG", "OK"))</f>
        <v/>
      </c>
    </row>
    <row r="90">
      <c r="A90" s="7" t="inlineStr">
        <is>
          <t>TX-9084</t>
        </is>
      </c>
      <c r="B90" s="7" t="inlineStr">
        <is>
          <t>3400</t>
        </is>
      </c>
      <c r="C90" s="6" t="inlineStr">
        <is>
          <t>Oppdragsinntekter BOA - Sept 2026 (Fellesadministrasjon)</t>
        </is>
      </c>
      <c r="D90" s="34" t="n">
        <v>-77273.08</v>
      </c>
      <c r="E90" s="7" t="inlineStr">
        <is>
          <t>EMP-113</t>
        </is>
      </c>
      <c r="F90" s="7" t="inlineStr">
        <is>
          <t>EMP-110</t>
        </is>
      </c>
      <c r="G90" s="66" t="n">
        <v>1</v>
      </c>
      <c r="H90" s="6" t="inlineStr">
        <is>
          <t>Oppdragsinntekter BOA - Sept 2026 (Fellesadministrasjon)</t>
        </is>
      </c>
      <c r="I90" s="6">
        <f>IF(E90=F90, "BRUDD: Egengodkjenning", IF(G90=0, "MANGLER BILAG", "OK"))</f>
        <v/>
      </c>
    </row>
    <row r="91">
      <c r="A91" s="7" t="inlineStr">
        <is>
          <t>TX-9085</t>
        </is>
      </c>
      <c r="B91" s="7" t="inlineStr">
        <is>
          <t>3400</t>
        </is>
      </c>
      <c r="C91" s="6" t="inlineStr">
        <is>
          <t>Oppdragsinntekter BOA - Sept 2026 (Helse- og Idrettsvitenskap)</t>
        </is>
      </c>
      <c r="D91" s="34" t="n">
        <v>-55581.5</v>
      </c>
      <c r="E91" s="7" t="inlineStr">
        <is>
          <t>EMP-111</t>
        </is>
      </c>
      <c r="F91" s="7" t="inlineStr">
        <is>
          <t>EMP-104</t>
        </is>
      </c>
      <c r="G91" s="66" t="n">
        <v>1</v>
      </c>
      <c r="H91" s="6" t="inlineStr">
        <is>
          <t>Oppdragsinntekter BOA - Sept 2026 (Helse- og Idrettsvitenskap)</t>
        </is>
      </c>
      <c r="I91" s="6">
        <f>IF(E91=F91, "BRUDD: Egengodkjenning", IF(G91=0, "MANGLER BILAG", "OK"))</f>
        <v/>
      </c>
    </row>
    <row r="92">
      <c r="A92" s="7" t="inlineStr">
        <is>
          <t>TX-9086</t>
        </is>
      </c>
      <c r="B92" s="7" t="inlineStr">
        <is>
          <t>6800</t>
        </is>
      </c>
      <c r="C92" s="6" t="inlineStr">
        <is>
          <t>Kontorrekvisita - Sept 2026 (Handelshøyskolen)</t>
        </is>
      </c>
      <c r="D92" s="34" t="n">
        <v>2044.87</v>
      </c>
      <c r="E92" s="7" t="inlineStr">
        <is>
          <t>EMP-111</t>
        </is>
      </c>
      <c r="F92" s="7" t="inlineStr">
        <is>
          <t>EMP-114</t>
        </is>
      </c>
      <c r="G92" s="66" t="n">
        <v>1</v>
      </c>
      <c r="H92" s="6" t="inlineStr">
        <is>
          <t>Kontorrekvisita - Sept 2026 (Handelshøyskolen)</t>
        </is>
      </c>
      <c r="I92" s="6">
        <f>IF(E92=F92, "BRUDD: Egengodkjenning", IF(G92=0, "MANGLER BILAG", "OK"))</f>
        <v/>
      </c>
    </row>
    <row r="93">
      <c r="A93" s="7" t="inlineStr">
        <is>
          <t>TX-9087</t>
        </is>
      </c>
      <c r="B93" s="7" t="inlineStr">
        <is>
          <t>7100</t>
        </is>
      </c>
      <c r="C93" s="6" t="inlineStr">
        <is>
          <t>Bilgodtgjørelse feltarbeid - Sept 2026 (Fellesadministrasjon)</t>
        </is>
      </c>
      <c r="D93" s="34" t="n">
        <v>2458.76</v>
      </c>
      <c r="E93" s="7" t="inlineStr">
        <is>
          <t>EMP-114</t>
        </is>
      </c>
      <c r="F93" s="7" t="inlineStr">
        <is>
          <t>EMP-113</t>
        </is>
      </c>
      <c r="G93" s="66" t="n">
        <v>1</v>
      </c>
      <c r="H93" s="6" t="inlineStr">
        <is>
          <t>Bilgodtgjørelse feltarbeid - Sept 2026 (Fellesadministrasjon)</t>
        </is>
      </c>
      <c r="I93" s="6">
        <f>IF(E93=F93, "BRUDD: Egengodkjenning", IF(G93=0, "MANGLER BILAG", "OK"))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43" customWidth="1" min="4" max="4"/>
    <col width="18" customWidth="1" min="5" max="5"/>
    <col width="26" customWidth="1" min="6" max="6"/>
    <col width="18" customWidth="1" min="7" max="7"/>
    <col width="14" customWidth="1" min="8" max="8"/>
    <col width="14" customWidth="1" min="9" max="9"/>
    <col width="12" customWidth="1" min="10" max="10"/>
    <col width="16" customWidth="1" min="11" max="11"/>
    <col width="107" customWidth="1" min="12" max="12"/>
    <col width="16" customWidth="1" min="13" max="13"/>
    <col width="20" customWidth="1" min="14" max="14"/>
  </cols>
  <sheetData>
    <row r="1">
      <c r="A1" s="4" t="inlineStr">
        <is>
          <t>Reise-ID</t>
        </is>
      </c>
      <c r="B1" s="4" t="inlineStr">
        <is>
          <t>Ansatt Navn</t>
        </is>
      </c>
      <c r="C1" s="4" t="inlineStr">
        <is>
          <t>Dato</t>
        </is>
      </c>
      <c r="D1" s="4" t="inlineStr">
        <is>
          <t>Formål</t>
        </is>
      </c>
      <c r="E1" s="4" t="inlineStr">
        <is>
          <t>Beløp (NOK)</t>
        </is>
      </c>
      <c r="F1" s="4" t="inlineStr">
        <is>
          <t>Måltid Dekket</t>
        </is>
      </c>
      <c r="G1" s="4" t="inlineStr">
        <is>
          <t>Fradrag Utført</t>
        </is>
      </c>
      <c r="H1" s="4" t="inlineStr">
        <is>
          <t>Km Godtgj.</t>
        </is>
      </c>
      <c r="I1" s="4" t="inlineStr">
        <is>
          <t>Kvittering</t>
        </is>
      </c>
      <c r="J1" s="4" t="inlineStr">
        <is>
          <t>BDM ID</t>
        </is>
      </c>
      <c r="K1" s="4" t="inlineStr">
        <is>
          <t>Attestant ID</t>
        </is>
      </c>
      <c r="L1" s="4" t="inlineStr">
        <is>
          <t>Avviksbeskrivelse</t>
        </is>
      </c>
      <c r="M1" s="4" t="inlineStr">
        <is>
          <t>Audit Status</t>
        </is>
      </c>
      <c r="N1" s="4" t="inlineStr">
        <is>
          <t>Sperret i Unit4?</t>
        </is>
      </c>
    </row>
    <row r="2">
      <c r="A2" s="7" t="inlineStr">
        <is>
          <t>REISE-2026-001</t>
        </is>
      </c>
      <c r="B2" s="6" t="inlineStr">
        <is>
          <t>Ola Nordmann</t>
        </is>
      </c>
      <c r="C2" s="7" t="inlineStr">
        <is>
          <t>2026-01-12</t>
        </is>
      </c>
      <c r="D2" s="6" t="inlineStr">
        <is>
          <t>Fagkonferanse Bergen</t>
        </is>
      </c>
      <c r="E2" s="65" t="n">
        <v>3450</v>
      </c>
      <c r="F2" s="6" t="inlineStr">
        <is>
          <t>Lunsj, Middag</t>
        </is>
      </c>
      <c r="G2" s="6" t="inlineStr">
        <is>
          <t>JA</t>
        </is>
      </c>
      <c r="H2" s="66" t="n">
        <v>0</v>
      </c>
      <c r="I2" s="6" t="inlineStr">
        <is>
          <t>JA</t>
        </is>
      </c>
      <c r="J2" s="7" t="inlineStr">
        <is>
          <t>EMP-101</t>
        </is>
      </c>
      <c r="K2" s="7" t="inlineStr">
        <is>
          <t>EMP-102</t>
        </is>
      </c>
      <c r="L2" s="6" t="inlineStr">
        <is>
          <t>OK</t>
        </is>
      </c>
      <c r="M2" s="14" t="inlineStr">
        <is>
          <t>APPROVED</t>
        </is>
      </c>
      <c r="N2" s="14" t="inlineStr">
        <is>
          <t>NEI</t>
        </is>
      </c>
    </row>
    <row r="3">
      <c r="A3" s="67" t="inlineStr">
        <is>
          <t>REISE-2026-002</t>
        </is>
      </c>
      <c r="B3" s="19" t="inlineStr">
        <is>
          <t>Kari Hansen</t>
        </is>
      </c>
      <c r="C3" s="67" t="inlineStr">
        <is>
          <t>2026-01-15</t>
        </is>
      </c>
      <c r="D3" s="19" t="inlineStr">
        <is>
          <t>Møte Kunnskapsdepartementet</t>
        </is>
      </c>
      <c r="E3" s="68" t="n">
        <v>2100</v>
      </c>
      <c r="F3" s="19" t="inlineStr">
        <is>
          <t>Middag</t>
        </is>
      </c>
      <c r="G3" s="19" t="inlineStr">
        <is>
          <t>NEI</t>
        </is>
      </c>
      <c r="H3" s="69" t="n">
        <v>0</v>
      </c>
      <c r="I3" s="19" t="inlineStr">
        <is>
          <t>JA</t>
        </is>
      </c>
      <c r="J3" s="67" t="inlineStr">
        <is>
          <t>EMP-103</t>
        </is>
      </c>
      <c r="K3" s="67" t="inlineStr">
        <is>
          <t>EMP-104</t>
        </is>
      </c>
      <c r="L3" s="18" t="inlineStr">
        <is>
          <t>BRUDD_MALTID: Måltid var dekket (Middag), men måltidsfradrag er ikke trukket fra diett.</t>
        </is>
      </c>
      <c r="M3" s="18" t="inlineStr">
        <is>
          <t>FLAGGED</t>
        </is>
      </c>
      <c r="N3" s="18" t="inlineStr">
        <is>
          <t>JA</t>
        </is>
      </c>
    </row>
    <row r="4">
      <c r="A4" s="7" t="inlineStr">
        <is>
          <t>REISE-2026-003</t>
        </is>
      </c>
      <c r="B4" s="6" t="inlineStr">
        <is>
          <t>Per Olsen</t>
        </is>
      </c>
      <c r="C4" s="7" t="inlineStr">
        <is>
          <t>2026-01-18</t>
        </is>
      </c>
      <c r="D4" s="6" t="inlineStr">
        <is>
          <t>Feltarbeid Agder</t>
        </is>
      </c>
      <c r="E4" s="65" t="n">
        <v>850</v>
      </c>
      <c r="F4" s="6" t="inlineStr">
        <is>
          <t>Ingen</t>
        </is>
      </c>
      <c r="G4" s="6" t="inlineStr">
        <is>
          <t>JA</t>
        </is>
      </c>
      <c r="H4" s="66" t="n">
        <v>180</v>
      </c>
      <c r="I4" s="6" t="inlineStr">
        <is>
          <t>JA</t>
        </is>
      </c>
      <c r="J4" s="7" t="inlineStr">
        <is>
          <t>EMP-105</t>
        </is>
      </c>
      <c r="K4" s="7" t="inlineStr">
        <is>
          <t>EMP-106</t>
        </is>
      </c>
      <c r="L4" s="6" t="inlineStr">
        <is>
          <t>OK</t>
        </is>
      </c>
      <c r="M4" s="14" t="inlineStr">
        <is>
          <t>APPROVED</t>
        </is>
      </c>
      <c r="N4" s="14" t="inlineStr">
        <is>
          <t>NEI</t>
        </is>
      </c>
    </row>
    <row r="5">
      <c r="A5" s="67" t="inlineStr">
        <is>
          <t>REISE-2026-004</t>
        </is>
      </c>
      <c r="B5" s="19" t="inlineStr">
        <is>
          <t>Anne Berg</t>
        </is>
      </c>
      <c r="C5" s="67" t="inlineStr">
        <is>
          <t>2026-01-20</t>
        </is>
      </c>
      <c r="D5" s="19" t="inlineStr">
        <is>
          <t>Prosjektmøte EU Horizon</t>
        </is>
      </c>
      <c r="E5" s="68" t="n">
        <v>4800</v>
      </c>
      <c r="F5" s="19" t="inlineStr">
        <is>
          <t>Frokost, Lunsj</t>
        </is>
      </c>
      <c r="G5" s="19" t="inlineStr">
        <is>
          <t>JA</t>
        </is>
      </c>
      <c r="H5" s="69" t="n">
        <v>0</v>
      </c>
      <c r="I5" s="19" t="inlineStr">
        <is>
          <t>JA</t>
        </is>
      </c>
      <c r="J5" s="67" t="inlineStr">
        <is>
          <t>EMP-107</t>
        </is>
      </c>
      <c r="K5" s="67" t="inlineStr">
        <is>
          <t>EMP-107</t>
        </is>
      </c>
      <c r="L5" s="18" t="inlineStr">
        <is>
          <t>BRUDD_FIRE_OYNE: BDM og attestant er samme person (egengodkjenning).</t>
        </is>
      </c>
      <c r="M5" s="18" t="inlineStr">
        <is>
          <t>FLAGGED</t>
        </is>
      </c>
      <c r="N5" s="18" t="inlineStr">
        <is>
          <t>JA</t>
        </is>
      </c>
    </row>
    <row r="6">
      <c r="A6" s="67" t="inlineStr">
        <is>
          <t>REISE-2026-005</t>
        </is>
      </c>
      <c r="B6" s="19" t="inlineStr">
        <is>
          <t>Lars Lie</t>
        </is>
      </c>
      <c r="C6" s="67" t="inlineStr">
        <is>
          <t>2026-01-22</t>
        </is>
      </c>
      <c r="D6" s="19" t="inlineStr">
        <is>
          <t>Deltakelse forskningsseminar Trondheim</t>
        </is>
      </c>
      <c r="E6" s="68" t="n">
        <v>3200</v>
      </c>
      <c r="F6" s="19" t="inlineStr">
        <is>
          <t>Frokost, Lunsj, Middag</t>
        </is>
      </c>
      <c r="G6" s="19" t="inlineStr">
        <is>
          <t>NEI</t>
        </is>
      </c>
      <c r="H6" s="69" t="n">
        <v>0</v>
      </c>
      <c r="I6" s="19" t="inlineStr">
        <is>
          <t>JA</t>
        </is>
      </c>
      <c r="J6" s="67" t="inlineStr">
        <is>
          <t>EMP-108</t>
        </is>
      </c>
      <c r="K6" s="67" t="inlineStr">
        <is>
          <t>EMP-109</t>
        </is>
      </c>
      <c r="L6" s="18" t="inlineStr">
        <is>
          <t>BRUDD_MALTID: Måltid var dekket (Frokost, Lunsj, Middag), men måltidsfradrag er ikke trukket fra diett.</t>
        </is>
      </c>
      <c r="M6" s="18" t="inlineStr">
        <is>
          <t>FLAGGED</t>
        </is>
      </c>
      <c r="N6" s="18" t="inlineStr">
        <is>
          <t>JA</t>
        </is>
      </c>
    </row>
    <row r="7">
      <c r="A7" s="67" t="inlineStr">
        <is>
          <t>REISE-2026-006</t>
        </is>
      </c>
      <c r="B7" s="19" t="inlineStr">
        <is>
          <t>Eva Sunde</t>
        </is>
      </c>
      <c r="C7" s="67" t="inlineStr">
        <is>
          <t>2026-01-25</t>
        </is>
      </c>
      <c r="D7" s="19" t="inlineStr">
        <is>
          <t>Kort møte Arendal</t>
        </is>
      </c>
      <c r="E7" s="68" t="n">
        <v>450</v>
      </c>
      <c r="F7" s="19" t="inlineStr">
        <is>
          <t>Ingen</t>
        </is>
      </c>
      <c r="G7" s="19" t="inlineStr">
        <is>
          <t>JA</t>
        </is>
      </c>
      <c r="H7" s="69" t="n">
        <v>65</v>
      </c>
      <c r="I7" s="19" t="inlineStr">
        <is>
          <t>JA</t>
        </is>
      </c>
      <c r="J7" s="67" t="inlineStr">
        <is>
          <t>EMP-110</t>
        </is>
      </c>
      <c r="K7" s="67" t="inlineStr">
        <is>
          <t>EMP-111</t>
        </is>
      </c>
      <c r="L7" s="18" t="inlineStr">
        <is>
          <t>BRUDD_KM_RUTE: Kilometergodtgjørelse krever spesifisert rutebeskrivelse.</t>
        </is>
      </c>
      <c r="M7" s="18" t="inlineStr">
        <is>
          <t>FLAGGED</t>
        </is>
      </c>
      <c r="N7" s="18" t="inlineStr">
        <is>
          <t>JA</t>
        </is>
      </c>
    </row>
    <row r="8">
      <c r="A8" s="67" t="inlineStr">
        <is>
          <t>REISE-2026-007</t>
        </is>
      </c>
      <c r="B8" s="19" t="inlineStr">
        <is>
          <t>Kjetil Dahl</t>
        </is>
      </c>
      <c r="C8" s="67" t="inlineStr">
        <is>
          <t>2026-01-28</t>
        </is>
      </c>
      <c r="D8" s="19" t="inlineStr">
        <is>
          <t>Taxi til flyplass Kjevik</t>
        </is>
      </c>
      <c r="E8" s="68" t="n">
        <v>620</v>
      </c>
      <c r="F8" s="19" t="inlineStr">
        <is>
          <t>Ingen</t>
        </is>
      </c>
      <c r="G8" s="19" t="inlineStr">
        <is>
          <t>JA</t>
        </is>
      </c>
      <c r="H8" s="69" t="n">
        <v>0</v>
      </c>
      <c r="I8" s="19" t="inlineStr">
        <is>
          <t>NEI</t>
        </is>
      </c>
      <c r="J8" s="67" t="inlineStr">
        <is>
          <t>EMP-112</t>
        </is>
      </c>
      <c r="K8" s="67" t="inlineStr">
        <is>
          <t>EMP-113</t>
        </is>
      </c>
      <c r="L8" s="18" t="inlineStr">
        <is>
          <t>BRUDD_KVITTERING: Beløp over 100 NOK mangler vedlagt originalkvittering.</t>
        </is>
      </c>
      <c r="M8" s="18" t="inlineStr">
        <is>
          <t>FLAGGED</t>
        </is>
      </c>
      <c r="N8" s="18" t="inlineStr">
        <is>
          <t>JA</t>
        </is>
      </c>
    </row>
    <row r="9">
      <c r="A9" s="7" t="inlineStr">
        <is>
          <t>REISE-2026-008</t>
        </is>
      </c>
      <c r="B9" s="6" t="inlineStr">
        <is>
          <t>Guri Moe</t>
        </is>
      </c>
      <c r="C9" s="7" t="inlineStr">
        <is>
          <t>2026-02-02</t>
        </is>
      </c>
      <c r="D9" s="6" t="inlineStr">
        <is>
          <t>AACSB Akkrediteringsmøte</t>
        </is>
      </c>
      <c r="E9" s="65" t="n">
        <v>8900</v>
      </c>
      <c r="F9" s="6" t="inlineStr">
        <is>
          <t>Lunsj</t>
        </is>
      </c>
      <c r="G9" s="6" t="inlineStr">
        <is>
          <t>JA</t>
        </is>
      </c>
      <c r="H9" s="66" t="n">
        <v>0</v>
      </c>
      <c r="I9" s="6" t="inlineStr">
        <is>
          <t>JA</t>
        </is>
      </c>
      <c r="J9" s="7" t="inlineStr">
        <is>
          <t>EMP-114</t>
        </is>
      </c>
      <c r="K9" s="7" t="inlineStr">
        <is>
          <t>EMP-115</t>
        </is>
      </c>
      <c r="L9" s="6" t="inlineStr">
        <is>
          <t>OK</t>
        </is>
      </c>
      <c r="M9" s="14" t="inlineStr">
        <is>
          <t>APPROVED</t>
        </is>
      </c>
      <c r="N9" s="14" t="inlineStr">
        <is>
          <t>NEI</t>
        </is>
      </c>
    </row>
    <row r="10">
      <c r="A10" s="7" t="inlineStr">
        <is>
          <t>REISE-2026-009</t>
        </is>
      </c>
      <c r="B10" s="6" t="inlineStr">
        <is>
          <t>Svein Bakke</t>
        </is>
      </c>
      <c r="C10" s="7" t="inlineStr">
        <is>
          <t>2026-02-05</t>
        </is>
      </c>
      <c r="D10" s="6" t="inlineStr">
        <is>
          <t>Bedriftsbesøk Kristiansand</t>
        </is>
      </c>
      <c r="E10" s="65" t="n">
        <v>310</v>
      </c>
      <c r="F10" s="6" t="inlineStr">
        <is>
          <t>Ingen</t>
        </is>
      </c>
      <c r="G10" s="6" t="inlineStr">
        <is>
          <t>JA</t>
        </is>
      </c>
      <c r="H10" s="66" t="n">
        <v>0</v>
      </c>
      <c r="I10" s="6" t="inlineStr">
        <is>
          <t>JA</t>
        </is>
      </c>
      <c r="J10" s="7" t="inlineStr">
        <is>
          <t>EMP-116</t>
        </is>
      </c>
      <c r="K10" s="7" t="inlineStr">
        <is>
          <t>EMP-117</t>
        </is>
      </c>
      <c r="L10" s="6" t="inlineStr">
        <is>
          <t>OK</t>
        </is>
      </c>
      <c r="M10" s="14" t="inlineStr">
        <is>
          <t>APPROVED</t>
        </is>
      </c>
      <c r="N10" s="14" t="inlineStr">
        <is>
          <t>NEI</t>
        </is>
      </c>
    </row>
    <row r="11">
      <c r="A11" s="7" t="inlineStr">
        <is>
          <t>REISE-2026-010</t>
        </is>
      </c>
      <c r="B11" s="6" t="inlineStr">
        <is>
          <t>Monika Vik</t>
        </is>
      </c>
      <c r="C11" s="7" t="inlineStr">
        <is>
          <t>2026-02-08</t>
        </is>
      </c>
      <c r="D11" s="6" t="inlineStr">
        <is>
          <t>Gjesteforelesning UiO</t>
        </is>
      </c>
      <c r="E11" s="65" t="n">
        <v>2750</v>
      </c>
      <c r="F11" s="6" t="inlineStr">
        <is>
          <t>Lunsj, Middag</t>
        </is>
      </c>
      <c r="G11" s="6" t="inlineStr">
        <is>
          <t>JA</t>
        </is>
      </c>
      <c r="H11" s="66" t="n">
        <v>0</v>
      </c>
      <c r="I11" s="6" t="inlineStr">
        <is>
          <t>JA</t>
        </is>
      </c>
      <c r="J11" s="7" t="inlineStr">
        <is>
          <t>EMP-118</t>
        </is>
      </c>
      <c r="K11" s="7" t="inlineStr">
        <is>
          <t>EMP-119</t>
        </is>
      </c>
      <c r="L11" s="6" t="inlineStr">
        <is>
          <t>OK</t>
        </is>
      </c>
      <c r="M11" s="14" t="inlineStr">
        <is>
          <t>APPROVED</t>
        </is>
      </c>
      <c r="N11" s="14" t="inlineStr">
        <is>
          <t>NEI</t>
        </is>
      </c>
    </row>
    <row r="12">
      <c r="A12" s="67" t="inlineStr">
        <is>
          <t>REISE-2026-011</t>
        </is>
      </c>
      <c r="B12" s="19" t="inlineStr">
        <is>
          <t>Tor Haug</t>
        </is>
      </c>
      <c r="C12" s="67" t="inlineStr">
        <is>
          <t>2026-02-11</t>
        </is>
      </c>
      <c r="D12" s="19" t="inlineStr">
        <is>
          <t>Middagsrepresentasjon eksterne partnere</t>
        </is>
      </c>
      <c r="E12" s="68" t="n">
        <v>1850</v>
      </c>
      <c r="F12" s="19" t="inlineStr">
        <is>
          <t>Middag</t>
        </is>
      </c>
      <c r="G12" s="19" t="inlineStr">
        <is>
          <t>JA</t>
        </is>
      </c>
      <c r="H12" s="69" t="n">
        <v>0</v>
      </c>
      <c r="I12" s="19" t="inlineStr">
        <is>
          <t>NEI</t>
        </is>
      </c>
      <c r="J12" s="67" t="inlineStr">
        <is>
          <t>EMP-120</t>
        </is>
      </c>
      <c r="K12" s="67" t="inlineStr">
        <is>
          <t>EMP-121</t>
        </is>
      </c>
      <c r="L12" s="18" t="inlineStr">
        <is>
          <t>BRUDD_KVITTERING: Beløp over 100 NOK mangler vedlagt originalkvittering.</t>
        </is>
      </c>
      <c r="M12" s="18" t="inlineStr">
        <is>
          <t>FLAGGED</t>
        </is>
      </c>
      <c r="N12" s="18" t="inlineStr">
        <is>
          <t>JA</t>
        </is>
      </c>
    </row>
    <row r="13">
      <c r="A13" s="7" t="inlineStr">
        <is>
          <t>REISE-2026-012</t>
        </is>
      </c>
      <c r="B13" s="6" t="inlineStr">
        <is>
          <t>Ingrid Solberg</t>
        </is>
      </c>
      <c r="C13" s="7" t="inlineStr">
        <is>
          <t>2026-02-14</t>
        </is>
      </c>
      <c r="D13" s="6" t="inlineStr">
        <is>
          <t>Styremøte NFR Oslo</t>
        </is>
      </c>
      <c r="E13" s="65" t="n">
        <v>3900</v>
      </c>
      <c r="F13" s="6" t="inlineStr">
        <is>
          <t>Frokost</t>
        </is>
      </c>
      <c r="G13" s="6" t="inlineStr">
        <is>
          <t>JA</t>
        </is>
      </c>
      <c r="H13" s="66" t="n">
        <v>0</v>
      </c>
      <c r="I13" s="6" t="inlineStr">
        <is>
          <t>JA</t>
        </is>
      </c>
      <c r="J13" s="7" t="inlineStr">
        <is>
          <t>EMP-122</t>
        </is>
      </c>
      <c r="K13" s="7" t="inlineStr">
        <is>
          <t>EMP-123</t>
        </is>
      </c>
      <c r="L13" s="6" t="inlineStr">
        <is>
          <t>OK</t>
        </is>
      </c>
      <c r="M13" s="14" t="inlineStr">
        <is>
          <t>APPROVED</t>
        </is>
      </c>
      <c r="N13" s="14" t="inlineStr">
        <is>
          <t>NEI</t>
        </is>
      </c>
    </row>
    <row r="14">
      <c r="A14" s="7" t="inlineStr">
        <is>
          <t>REISE-2026-013</t>
        </is>
      </c>
      <c r="B14" s="6" t="inlineStr">
        <is>
          <t>Knut Rønning</t>
        </is>
      </c>
      <c r="C14" s="7" t="inlineStr">
        <is>
          <t>2026-02-18</t>
        </is>
      </c>
      <c r="D14" s="6" t="inlineStr">
        <is>
          <t>Kjøring til nettverkssamling Grimstad</t>
        </is>
      </c>
      <c r="E14" s="65" t="n">
        <v>420</v>
      </c>
      <c r="F14" s="6" t="inlineStr">
        <is>
          <t>Ingen</t>
        </is>
      </c>
      <c r="G14" s="6" t="inlineStr">
        <is>
          <t>JA</t>
        </is>
      </c>
      <c r="H14" s="66" t="n">
        <v>90</v>
      </c>
      <c r="I14" s="6" t="inlineStr">
        <is>
          <t>JA</t>
        </is>
      </c>
      <c r="J14" s="7" t="inlineStr">
        <is>
          <t>EMP-124</t>
        </is>
      </c>
      <c r="K14" s="7" t="inlineStr">
        <is>
          <t>EMP-125</t>
        </is>
      </c>
      <c r="L14" s="6" t="inlineStr">
        <is>
          <t>OK</t>
        </is>
      </c>
      <c r="M14" s="14" t="inlineStr">
        <is>
          <t>APPROVED</t>
        </is>
      </c>
      <c r="N14" s="14" t="inlineStr">
        <is>
          <t>NEI</t>
        </is>
      </c>
    </row>
    <row r="15">
      <c r="A15" s="67" t="inlineStr">
        <is>
          <t>REISE-2026-014</t>
        </is>
      </c>
      <c r="B15" s="19" t="inlineStr">
        <is>
          <t>Hilde Bø</t>
        </is>
      </c>
      <c r="C15" s="67" t="inlineStr">
        <is>
          <t>2026-02-21</t>
        </is>
      </c>
      <c r="D15" s="19" t="inlineStr">
        <is>
          <t>Doktorgradsdisputas Tromsø</t>
        </is>
      </c>
      <c r="E15" s="68" t="n">
        <v>6400</v>
      </c>
      <c r="F15" s="19" t="inlineStr">
        <is>
          <t>Lunsj</t>
        </is>
      </c>
      <c r="G15" s="19" t="inlineStr">
        <is>
          <t>JA</t>
        </is>
      </c>
      <c r="H15" s="69" t="n">
        <v>0</v>
      </c>
      <c r="I15" s="19" t="inlineStr">
        <is>
          <t>JA</t>
        </is>
      </c>
      <c r="J15" s="67" t="inlineStr">
        <is>
          <t>EMP-126</t>
        </is>
      </c>
      <c r="K15" s="67" t="inlineStr">
        <is>
          <t>EMP-126</t>
        </is>
      </c>
      <c r="L15" s="18" t="inlineStr">
        <is>
          <t>BRUDD_FIRE_OYNE: BDM og attestant er samme person (egengodkjenning).</t>
        </is>
      </c>
      <c r="M15" s="18" t="inlineStr">
        <is>
          <t>FLAGGED</t>
        </is>
      </c>
      <c r="N15" s="18" t="inlineStr">
        <is>
          <t>JA</t>
        </is>
      </c>
    </row>
    <row r="16">
      <c r="A16" s="7" t="inlineStr">
        <is>
          <t>REISE-2026-015</t>
        </is>
      </c>
      <c r="B16" s="6" t="inlineStr">
        <is>
          <t>Morten Hagen</t>
        </is>
      </c>
      <c r="C16" s="7" t="inlineStr">
        <is>
          <t>2026-02-25</t>
        </is>
      </c>
      <c r="D16" s="6" t="inlineStr">
        <is>
          <t>Utlegg parkering Gardermoen</t>
        </is>
      </c>
      <c r="E16" s="65" t="n">
        <v>850</v>
      </c>
      <c r="F16" s="6" t="inlineStr">
        <is>
          <t>Ingen</t>
        </is>
      </c>
      <c r="G16" s="6" t="inlineStr">
        <is>
          <t>JA</t>
        </is>
      </c>
      <c r="H16" s="66" t="n">
        <v>0</v>
      </c>
      <c r="I16" s="6" t="inlineStr">
        <is>
          <t>JA</t>
        </is>
      </c>
      <c r="J16" s="7" t="inlineStr">
        <is>
          <t>EMP-127</t>
        </is>
      </c>
      <c r="K16" s="7" t="inlineStr">
        <is>
          <t>EMP-128</t>
        </is>
      </c>
      <c r="L16" s="6" t="inlineStr">
        <is>
          <t>OK</t>
        </is>
      </c>
      <c r="M16" s="14" t="inlineStr">
        <is>
          <t>APPROVED</t>
        </is>
      </c>
      <c r="N16" s="14" t="inlineStr">
        <is>
          <t>NEI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1" customWidth="1" min="3" max="3"/>
    <col width="22" customWidth="1" min="4" max="4"/>
    <col width="20" customWidth="1" min="5" max="5"/>
    <col width="19" customWidth="1" min="6" max="6"/>
    <col width="19" customWidth="1" min="7" max="7"/>
    <col width="19" customWidth="1" min="8" max="8"/>
    <col width="19" customWidth="1" min="9" max="9"/>
    <col width="18" customWidth="1" min="10" max="10"/>
    <col width="19" customWidth="1" min="11" max="11"/>
    <col width="19" customWidth="1" min="12" max="12"/>
    <col width="16" customWidth="1" min="13" max="13"/>
    <col width="12" customWidth="1" min="14" max="14"/>
    <col width="21" customWidth="1" min="15" max="15"/>
    <col width="17" customWidth="1" min="16" max="16"/>
    <col width="40" customWidth="1" min="17" max="17"/>
    <col width="90" customWidth="1" min="18" max="18"/>
  </cols>
  <sheetData>
    <row r="1">
      <c r="A1" s="4" t="inlineStr">
        <is>
          <t>Prosjekt</t>
        </is>
      </c>
      <c r="B1" s="4" t="inlineStr">
        <is>
          <t>Prosjektnavn</t>
        </is>
      </c>
      <c r="C1" s="4" t="inlineStr">
        <is>
          <t>Finansieringstype</t>
        </is>
      </c>
      <c r="D1" s="4" t="inlineStr">
        <is>
          <t>Finansieringskilde</t>
        </is>
      </c>
      <c r="E1" s="4" t="inlineStr">
        <is>
          <t>Kontraktsbelop</t>
        </is>
      </c>
      <c r="F1" s="4" t="inlineStr">
        <is>
          <t>Budsjett</t>
        </is>
      </c>
      <c r="G1" s="4" t="inlineStr">
        <is>
          <t>Frikjop</t>
        </is>
      </c>
      <c r="H1" s="4" t="inlineStr">
        <is>
          <t>DirekteDrift</t>
        </is>
      </c>
      <c r="I1" s="4" t="inlineStr">
        <is>
          <t>Overhead</t>
        </is>
      </c>
      <c r="J1" s="4" t="inlineStr">
        <is>
          <t>Leiested</t>
        </is>
      </c>
      <c r="K1" s="4" t="inlineStr">
        <is>
          <t>PåløptKostnad</t>
        </is>
      </c>
      <c r="L1" s="4" t="inlineStr">
        <is>
          <t>Inntektsført</t>
        </is>
      </c>
      <c r="M1" s="4" t="inlineStr">
        <is>
          <t>Dekningsgrad</t>
        </is>
      </c>
      <c r="N1" s="4" t="inlineStr">
        <is>
          <t>%TidGått</t>
        </is>
      </c>
      <c r="O1" s="4" t="inlineStr">
        <is>
          <t>%BudsjettForbrukt</t>
        </is>
      </c>
      <c r="P1" s="4" t="inlineStr">
        <is>
          <t>Forbruksavvik</t>
        </is>
      </c>
      <c r="Q1" s="4" t="inlineStr">
        <is>
          <t>RAG_Status</t>
        </is>
      </c>
      <c r="R1" s="4" t="inlineStr">
        <is>
          <t>StatusMerknad</t>
        </is>
      </c>
    </row>
    <row r="2">
      <c r="A2" s="6" t="inlineStr">
        <is>
          <t>NFR001</t>
        </is>
      </c>
      <c r="B2" s="6" t="inlineStr">
        <is>
          <t>NFR-AI: Kunstig intelligens i styring</t>
        </is>
      </c>
      <c r="C2" s="6" t="inlineStr">
        <is>
          <t>Bidrag</t>
        </is>
      </c>
      <c r="D2" s="6" t="inlineStr">
        <is>
          <t>NFR</t>
        </is>
      </c>
      <c r="E2" s="13" t="n">
        <v>12000000</v>
      </c>
      <c r="F2" s="13" t="n">
        <v>4000000</v>
      </c>
      <c r="G2" s="13" t="n">
        <v>1800000</v>
      </c>
      <c r="H2" s="13" t="n">
        <v>1100000</v>
      </c>
      <c r="I2" s="13" t="n">
        <v>880000</v>
      </c>
      <c r="J2" s="13" t="n">
        <v>220000</v>
      </c>
      <c r="K2" s="13" t="n">
        <v>1680000</v>
      </c>
      <c r="L2" s="13" t="n">
        <v>1680000</v>
      </c>
      <c r="M2" s="71" t="n">
        <v>0.22</v>
      </c>
      <c r="N2" s="71" t="n">
        <v>0.65</v>
      </c>
      <c r="O2" s="71" t="n">
        <v>0.42</v>
      </c>
      <c r="P2" s="73" t="n">
        <v>-0.23</v>
      </c>
      <c r="Q2" s="6" t="inlineStr">
        <is>
          <t>GUL: Betydelig fremdriftsforsinkelse</t>
        </is>
      </c>
      <c r="R2" s="6" t="inlineStr">
        <is>
          <t>Forsinket stipendiatrekruttering og lav fremdrift. Tiltak T003 iverksatt.</t>
        </is>
      </c>
    </row>
    <row r="3">
      <c r="A3" s="6" t="inlineStr">
        <is>
          <t>NFR002</t>
        </is>
      </c>
      <c r="B3" s="6" t="inlineStr">
        <is>
          <t>NFR-Helse: Pasientsikkerhet i helsefag</t>
        </is>
      </c>
      <c r="C3" s="6" t="inlineStr">
        <is>
          <t>Bidrag</t>
        </is>
      </c>
      <c r="D3" s="6" t="inlineStr">
        <is>
          <t>NFR</t>
        </is>
      </c>
      <c r="E3" s="13" t="n">
        <v>8500000</v>
      </c>
      <c r="F3" s="13" t="n">
        <v>2800000</v>
      </c>
      <c r="G3" s="13" t="n">
        <v>1300000</v>
      </c>
      <c r="H3" s="13" t="n">
        <v>800000</v>
      </c>
      <c r="I3" s="13" t="n">
        <v>616000</v>
      </c>
      <c r="J3" s="13" t="n">
        <v>84000</v>
      </c>
      <c r="K3" s="13" t="n">
        <v>1450000</v>
      </c>
      <c r="L3" s="13" t="n">
        <v>1450000</v>
      </c>
      <c r="M3" s="71" t="n">
        <v>0.22</v>
      </c>
      <c r="N3" s="71" t="n">
        <v>0.52</v>
      </c>
      <c r="O3" s="71" t="n">
        <v>0.518</v>
      </c>
      <c r="P3" s="73" t="n">
        <v>-0.002</v>
      </c>
      <c r="Q3" s="6" t="inlineStr">
        <is>
          <t>GRØNN: I rute</t>
        </is>
      </c>
      <c r="R3" s="6" t="inlineStr">
        <is>
          <t>I rute iht. prosjektplan og milepæler.</t>
        </is>
      </c>
    </row>
    <row r="4">
      <c r="A4" s="6" t="inlineStr">
        <is>
          <t>EU001</t>
        </is>
      </c>
      <c r="B4" s="6" t="inlineStr">
        <is>
          <t>EU Horizon: Green Maritime Tech</t>
        </is>
      </c>
      <c r="C4" s="6" t="inlineStr">
        <is>
          <t>Bidrag</t>
        </is>
      </c>
      <c r="D4" s="6" t="inlineStr">
        <is>
          <t>EU</t>
        </is>
      </c>
      <c r="E4" s="13" t="n">
        <v>18500000</v>
      </c>
      <c r="F4" s="13" t="n">
        <v>6200000</v>
      </c>
      <c r="G4" s="13" t="n">
        <v>2800000</v>
      </c>
      <c r="H4" s="13" t="n">
        <v>1800000</v>
      </c>
      <c r="I4" s="13" t="n">
        <v>1364000</v>
      </c>
      <c r="J4" s="13" t="n">
        <v>236000</v>
      </c>
      <c r="K4" s="13" t="n">
        <v>3100000</v>
      </c>
      <c r="L4" s="13" t="n">
        <v>3100000</v>
      </c>
      <c r="M4" s="71" t="n">
        <v>0.22</v>
      </c>
      <c r="N4" s="71" t="n">
        <v>0.5</v>
      </c>
      <c r="O4" s="71" t="n">
        <v>0.5</v>
      </c>
      <c r="P4" s="73" t="n">
        <v>0</v>
      </c>
      <c r="Q4" s="6" t="inlineStr">
        <is>
          <t>GRØNN: I rute</t>
        </is>
      </c>
      <c r="R4" s="6" t="inlineStr">
        <is>
          <t>Green Maritime Tech i rute for Horizon Europe.</t>
        </is>
      </c>
    </row>
    <row r="5">
      <c r="A5" s="6" t="inlineStr">
        <is>
          <t>EU002</t>
        </is>
      </c>
      <c r="B5" s="6" t="inlineStr">
        <is>
          <t>EU Horizon: Digital Governance</t>
        </is>
      </c>
      <c r="C5" s="6" t="inlineStr">
        <is>
          <t>Bidrag</t>
        </is>
      </c>
      <c r="D5" s="6" t="inlineStr">
        <is>
          <t>EU</t>
        </is>
      </c>
      <c r="E5" s="13" t="n">
        <v>14000000</v>
      </c>
      <c r="F5" s="13" t="n">
        <v>4500000</v>
      </c>
      <c r="G5" s="13" t="n">
        <v>2100000</v>
      </c>
      <c r="H5" s="13" t="n">
        <v>1200000</v>
      </c>
      <c r="I5" s="13" t="n">
        <v>990000</v>
      </c>
      <c r="J5" s="13" t="n">
        <v>210000</v>
      </c>
      <c r="K5" s="13" t="n">
        <v>2150000</v>
      </c>
      <c r="L5" s="13" t="n">
        <v>2150000</v>
      </c>
      <c r="M5" s="71" t="n">
        <v>0.22</v>
      </c>
      <c r="N5" s="71" t="n">
        <v>0.48</v>
      </c>
      <c r="O5" s="71" t="n">
        <v>0.478</v>
      </c>
      <c r="P5" s="73" t="n">
        <v>-0.002</v>
      </c>
      <c r="Q5" s="6" t="inlineStr">
        <is>
          <t>GRØNN: I rute</t>
        </is>
      </c>
      <c r="R5" s="6" t="inlineStr">
        <is>
          <t>Digital Governance i rute for Horizon Europe.</t>
        </is>
      </c>
    </row>
    <row r="6">
      <c r="A6" s="6" t="inlineStr">
        <is>
          <t>EVU001</t>
        </is>
      </c>
      <c r="B6" s="6" t="inlineStr">
        <is>
          <t>EVU Videreutdanning for kommuner</t>
        </is>
      </c>
      <c r="C6" s="6" t="inlineStr">
        <is>
          <t>Oppdrag</t>
        </is>
      </c>
      <c r="D6" s="6" t="inlineStr">
        <is>
          <t>Ekstern</t>
        </is>
      </c>
      <c r="E6" s="13" t="n">
        <v>3500000</v>
      </c>
      <c r="F6" s="13" t="n">
        <v>1200000</v>
      </c>
      <c r="G6" s="13" t="n">
        <v>450000</v>
      </c>
      <c r="H6" s="13" t="n">
        <v>450000</v>
      </c>
      <c r="I6" s="13" t="n">
        <v>300000</v>
      </c>
      <c r="J6" s="73" t="n">
        <v>0</v>
      </c>
      <c r="K6" s="13" t="n">
        <v>864000</v>
      </c>
      <c r="L6" s="13" t="n">
        <v>600000</v>
      </c>
      <c r="M6" s="71" t="n">
        <v>0.25</v>
      </c>
      <c r="N6" s="71" t="n">
        <v>0.5</v>
      </c>
      <c r="O6" s="71" t="n">
        <v>0.72</v>
      </c>
      <c r="P6" s="73" t="n">
        <v>0.22</v>
      </c>
      <c r="Q6" s="6" t="inlineStr">
        <is>
          <t>RØD: Betydelig merforbruk</t>
        </is>
      </c>
      <c r="R6" s="6" t="inlineStr">
        <is>
          <t>Konsulentmerforbruk og tapsrisiko (SRS 9). Tapsavsetning konto 7790/2800. Tiltak T004.</t>
        </is>
      </c>
    </row>
    <row r="7">
      <c r="A7" s="6" t="inlineStr">
        <is>
          <t>OPPDRAG01</t>
        </is>
      </c>
      <c r="B7" s="6" t="inlineStr">
        <is>
          <t>Oppdragsforskning Batteriteknologi</t>
        </is>
      </c>
      <c r="C7" s="6" t="inlineStr">
        <is>
          <t>Oppdrag</t>
        </is>
      </c>
      <c r="D7" s="6" t="inlineStr">
        <is>
          <t>Næringsliv</t>
        </is>
      </c>
      <c r="E7" s="13" t="n">
        <v>5000000</v>
      </c>
      <c r="F7" s="13" t="n">
        <v>1800000</v>
      </c>
      <c r="G7" s="13" t="n">
        <v>750000</v>
      </c>
      <c r="H7" s="13" t="n">
        <v>550000</v>
      </c>
      <c r="I7" s="13" t="n">
        <v>450000</v>
      </c>
      <c r="J7" s="13" t="n">
        <v>50000</v>
      </c>
      <c r="K7" s="13" t="n">
        <v>890000</v>
      </c>
      <c r="L7" s="13" t="n">
        <v>890000</v>
      </c>
      <c r="M7" s="71" t="n">
        <v>0.25</v>
      </c>
      <c r="N7" s="71" t="n">
        <v>0.5</v>
      </c>
      <c r="O7" s="71" t="n">
        <v>0.494</v>
      </c>
      <c r="P7" s="73" t="n">
        <v>-0.006</v>
      </c>
      <c r="Q7" s="6" t="inlineStr">
        <is>
          <t>GRØNN: I rute</t>
        </is>
      </c>
      <c r="R7" s="6" t="inlineStr">
        <is>
          <t>Batteriteknologi oppdrag i henhold til leveranseplan.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1" customWidth="1" min="3" max="3"/>
    <col width="15" customWidth="1" min="4" max="4"/>
    <col width="15" customWidth="1" min="5" max="5"/>
    <col width="20" customWidth="1" min="6" max="6"/>
    <col width="31" customWidth="1" min="7" max="7"/>
    <col width="14" customWidth="1" min="8" max="8"/>
  </cols>
  <sheetData>
    <row r="1">
      <c r="A1" s="4" t="inlineStr">
        <is>
          <t>Konto</t>
        </is>
      </c>
      <c r="B1" s="4" t="inlineStr">
        <is>
          <t>StandardKonto3</t>
        </is>
      </c>
      <c r="C1" s="4" t="inlineStr">
        <is>
          <t>Kontonavn</t>
        </is>
      </c>
      <c r="D1" s="4" t="inlineStr">
        <is>
          <t>Kontoklasse</t>
        </is>
      </c>
      <c r="E1" s="4" t="inlineStr">
        <is>
          <t>Kontogruppe</t>
        </is>
      </c>
      <c r="F1" s="4" t="inlineStr">
        <is>
          <t>Kontotype</t>
        </is>
      </c>
      <c r="G1" s="4" t="inlineStr">
        <is>
          <t>SRS_regnskapslinje</t>
        </is>
      </c>
      <c r="H1" s="4" t="inlineStr">
        <is>
          <t>AktuellFor</t>
        </is>
      </c>
    </row>
    <row r="2">
      <c r="A2" s="33" t="n">
        <v>1250</v>
      </c>
      <c r="B2" s="33" t="n">
        <v>125</v>
      </c>
      <c r="C2" s="6" t="inlineStr">
        <is>
          <t>IKT-utstyr og maskiner (&gt;50k)</t>
        </is>
      </c>
      <c r="D2" s="6" t="n">
        <v>1</v>
      </c>
      <c r="E2" s="6" t="n">
        <v>12</v>
      </c>
      <c r="F2" s="6" t="inlineStr">
        <is>
          <t>Eiendeler</t>
        </is>
      </c>
      <c r="G2" s="6" t="inlineStr">
        <is>
          <t>Varige driftsmidler</t>
        </is>
      </c>
      <c r="H2" s="6" t="inlineStr">
        <is>
          <t>SRS/Alle</t>
        </is>
      </c>
    </row>
    <row r="3">
      <c r="A3" s="33" t="n">
        <v>2050</v>
      </c>
      <c r="B3" s="33" t="n">
        <v>205</v>
      </c>
      <c r="C3" s="6" t="inlineStr">
        <is>
          <t>Statens finansiering av anleggsmidler</t>
        </is>
      </c>
      <c r="D3" s="6" t="n">
        <v>2</v>
      </c>
      <c r="E3" s="6" t="n">
        <v>20</v>
      </c>
      <c r="F3" s="6" t="inlineStr">
        <is>
          <t>Gjeld/Kapital</t>
        </is>
      </c>
      <c r="G3" s="6" t="inlineStr">
        <is>
          <t>Statens kapital</t>
        </is>
      </c>
      <c r="H3" s="6" t="inlineStr">
        <is>
          <t>SRS/Alle</t>
        </is>
      </c>
    </row>
    <row r="4">
      <c r="A4" s="33" t="n">
        <v>2080</v>
      </c>
      <c r="B4" s="33" t="n">
        <v>208</v>
      </c>
      <c r="C4" s="6" t="inlineStr">
        <is>
          <t>Avsetning ubenyttet rammebevilgning (F-05-20)</t>
        </is>
      </c>
      <c r="D4" s="6" t="n">
        <v>2</v>
      </c>
      <c r="E4" s="6" t="n">
        <v>20</v>
      </c>
      <c r="F4" s="6" t="inlineStr">
        <is>
          <t>Gjeld/Kapital</t>
        </is>
      </c>
      <c r="G4" s="6" t="inlineStr">
        <is>
          <t>Avsetninger</t>
        </is>
      </c>
      <c r="H4" s="6" t="inlineStr">
        <is>
          <t>SRS/Alle</t>
        </is>
      </c>
    </row>
    <row r="5">
      <c r="A5" s="33" t="n">
        <v>2180</v>
      </c>
      <c r="B5" s="33" t="n">
        <v>218</v>
      </c>
      <c r="C5" s="6" t="inlineStr">
        <is>
          <t>Mottatt forskuddsbetaling bidrag (SRS 10)</t>
        </is>
      </c>
      <c r="D5" s="6" t="n">
        <v>2</v>
      </c>
      <c r="E5" s="6" t="n">
        <v>21</v>
      </c>
      <c r="F5" s="6" t="inlineStr">
        <is>
          <t>Kortsiktig gjeld</t>
        </is>
      </c>
      <c r="G5" s="6" t="inlineStr">
        <is>
          <t>Kortsiktig gjeld</t>
        </is>
      </c>
      <c r="H5" s="6" t="inlineStr">
        <is>
          <t>SRS/Alle</t>
        </is>
      </c>
    </row>
    <row r="6">
      <c r="A6" s="33" t="n">
        <v>2800</v>
      </c>
      <c r="B6" s="33" t="n">
        <v>280</v>
      </c>
      <c r="C6" s="6" t="inlineStr">
        <is>
          <t>Avsetning for forventet tap på oppdrag (SRS 9)</t>
        </is>
      </c>
      <c r="D6" s="6" t="n">
        <v>2</v>
      </c>
      <c r="E6" s="6" t="n">
        <v>28</v>
      </c>
      <c r="F6" s="6" t="inlineStr">
        <is>
          <t>Kortsiktig gjeld</t>
        </is>
      </c>
      <c r="G6" s="6" t="inlineStr">
        <is>
          <t>Avsetning for forpliktelser</t>
        </is>
      </c>
      <c r="H6" s="6" t="inlineStr">
        <is>
          <t>SRS/Alle</t>
        </is>
      </c>
    </row>
    <row r="7">
      <c r="A7" s="33" t="n">
        <v>3030</v>
      </c>
      <c r="B7" s="33" t="n">
        <v>303</v>
      </c>
      <c r="C7" s="6" t="inlineStr">
        <is>
          <t>Salgsinntekt tjenester, avgiftspliktig</t>
        </is>
      </c>
      <c r="D7" s="6" t="n">
        <v>3</v>
      </c>
      <c r="E7" s="6" t="n">
        <v>30</v>
      </c>
      <c r="F7" s="6" t="inlineStr">
        <is>
          <t>Inntekt</t>
        </is>
      </c>
      <c r="G7" s="6" t="inlineStr">
        <is>
          <t>Salgsinntekt</t>
        </is>
      </c>
      <c r="H7" s="6" t="inlineStr">
        <is>
          <t>SRS/Alle</t>
        </is>
      </c>
    </row>
    <row r="8">
      <c r="A8" s="33" t="n">
        <v>3130</v>
      </c>
      <c r="B8" s="33" t="n">
        <v>313</v>
      </c>
      <c r="C8" s="6" t="inlineStr">
        <is>
          <t>Salgsinntekt tjenester, avgiftsfri</t>
        </is>
      </c>
      <c r="D8" s="6" t="n">
        <v>3</v>
      </c>
      <c r="E8" s="6" t="n">
        <v>31</v>
      </c>
      <c r="F8" s="6" t="inlineStr">
        <is>
          <t>Inntekt</t>
        </is>
      </c>
      <c r="G8" s="6" t="inlineStr">
        <is>
          <t>Salgsinntekt</t>
        </is>
      </c>
      <c r="H8" s="6" t="inlineStr">
        <is>
          <t>SRS/Alle</t>
        </is>
      </c>
    </row>
    <row r="9">
      <c r="A9" s="33" t="n">
        <v>3400</v>
      </c>
      <c r="B9" s="33" t="n">
        <v>340</v>
      </c>
      <c r="C9" s="6" t="inlineStr">
        <is>
          <t>Tilskudd fra Norges forskningsråd (SRS 10)</t>
        </is>
      </c>
      <c r="D9" s="6" t="n">
        <v>3</v>
      </c>
      <c r="E9" s="6" t="n">
        <v>34</v>
      </c>
      <c r="F9" s="6" t="inlineStr">
        <is>
          <t>Inntekt</t>
        </is>
      </c>
      <c r="G9" s="6" t="inlineStr">
        <is>
          <t>Tilskudd og overføringer</t>
        </is>
      </c>
      <c r="H9" s="6" t="inlineStr">
        <is>
          <t>SRS/Alle</t>
        </is>
      </c>
    </row>
    <row r="10">
      <c r="A10" s="33" t="n">
        <v>3410</v>
      </c>
      <c r="B10" s="33" t="n">
        <v>341</v>
      </c>
      <c r="C10" s="6" t="inlineStr">
        <is>
          <t>Tilskudd fra andre statlige virksomheter</t>
        </is>
      </c>
      <c r="D10" s="6" t="n">
        <v>3</v>
      </c>
      <c r="E10" s="6" t="n">
        <v>34</v>
      </c>
      <c r="F10" s="6" t="inlineStr">
        <is>
          <t>Inntekt</t>
        </is>
      </c>
      <c r="G10" s="6" t="inlineStr">
        <is>
          <t>Tilskudd og overføringer</t>
        </is>
      </c>
      <c r="H10" s="6" t="inlineStr">
        <is>
          <t>SRS/Alle</t>
        </is>
      </c>
    </row>
    <row r="11">
      <c r="A11" s="33" t="n">
        <v>3420</v>
      </c>
      <c r="B11" s="33" t="n">
        <v>342</v>
      </c>
      <c r="C11" s="6" t="inlineStr">
        <is>
          <t>Tilskudd fra EU Horisont Europa (SRS 10)</t>
        </is>
      </c>
      <c r="D11" s="6" t="n">
        <v>3</v>
      </c>
      <c r="E11" s="6" t="n">
        <v>34</v>
      </c>
      <c r="F11" s="6" t="inlineStr">
        <is>
          <t>Inntekt</t>
        </is>
      </c>
      <c r="G11" s="6" t="inlineStr">
        <is>
          <t>Tilskudd og overføringer</t>
        </is>
      </c>
      <c r="H11" s="6" t="inlineStr">
        <is>
          <t>SRS/Alle</t>
        </is>
      </c>
    </row>
    <row r="12">
      <c r="A12" s="33" t="n">
        <v>3450</v>
      </c>
      <c r="B12" s="33" t="n">
        <v>345</v>
      </c>
      <c r="C12" s="6" t="inlineStr">
        <is>
          <t>Oppdragsinntekt fra næringsliv (SRS 9)</t>
        </is>
      </c>
      <c r="D12" s="6" t="n">
        <v>3</v>
      </c>
      <c r="E12" s="6" t="n">
        <v>34</v>
      </c>
      <c r="F12" s="6" t="inlineStr">
        <is>
          <t>Inntekt</t>
        </is>
      </c>
      <c r="G12" s="6" t="inlineStr">
        <is>
          <t>Tilskudd og overføringer</t>
        </is>
      </c>
      <c r="H12" s="6" t="inlineStr">
        <is>
          <t>SRS/Alle</t>
        </is>
      </c>
    </row>
    <row r="13">
      <c r="A13" s="33" t="n">
        <v>3900</v>
      </c>
      <c r="B13" s="33" t="n">
        <v>390</v>
      </c>
      <c r="C13" s="6" t="inlineStr">
        <is>
          <t>Inntekt fra statlig rammebevilgning (Kap 260)</t>
        </is>
      </c>
      <c r="D13" s="6" t="n">
        <v>3</v>
      </c>
      <c r="E13" s="6" t="n">
        <v>39</v>
      </c>
      <c r="F13" s="6" t="inlineStr">
        <is>
          <t>Inntekt</t>
        </is>
      </c>
      <c r="G13" s="6" t="inlineStr">
        <is>
          <t>Inntekt fra bevilgninger</t>
        </is>
      </c>
      <c r="H13" s="6" t="inlineStr">
        <is>
          <t>SRS/Alle</t>
        </is>
      </c>
    </row>
    <row r="14">
      <c r="A14" s="33" t="n">
        <v>5000</v>
      </c>
      <c r="B14" s="33" t="n">
        <v>500</v>
      </c>
      <c r="C14" s="6" t="inlineStr">
        <is>
          <t>Lønn fast ansatte</t>
        </is>
      </c>
      <c r="D14" s="6" t="n">
        <v>5</v>
      </c>
      <c r="E14" s="6" t="n">
        <v>50</v>
      </c>
      <c r="F14" s="6" t="inlineStr">
        <is>
          <t>Kostnad</t>
        </is>
      </c>
      <c r="G14" s="6" t="inlineStr">
        <is>
          <t>Lønnskostnader</t>
        </is>
      </c>
      <c r="H14" s="6" t="inlineStr">
        <is>
          <t>SRS/Alle</t>
        </is>
      </c>
    </row>
    <row r="15">
      <c r="A15" s="33" t="n">
        <v>5050</v>
      </c>
      <c r="B15" s="33" t="n">
        <v>505</v>
      </c>
      <c r="C15" s="6" t="inlineStr">
        <is>
          <t>Overtid fast ansatte</t>
        </is>
      </c>
      <c r="D15" s="6" t="n">
        <v>5</v>
      </c>
      <c r="E15" s="6" t="n">
        <v>50</v>
      </c>
      <c r="F15" s="6" t="inlineStr">
        <is>
          <t>Kostnad</t>
        </is>
      </c>
      <c r="G15" s="6" t="inlineStr">
        <is>
          <t>Lønnskostnader</t>
        </is>
      </c>
      <c r="H15" s="6" t="inlineStr">
        <is>
          <t>SRS/Alle</t>
        </is>
      </c>
    </row>
    <row r="16">
      <c r="A16" s="33" t="n">
        <v>5080</v>
      </c>
      <c r="B16" s="33" t="n">
        <v>508</v>
      </c>
      <c r="C16" s="6" t="inlineStr">
        <is>
          <t>Feriepenger</t>
        </is>
      </c>
      <c r="D16" s="6" t="n">
        <v>5</v>
      </c>
      <c r="E16" s="6" t="n">
        <v>50</v>
      </c>
      <c r="F16" s="6" t="inlineStr">
        <is>
          <t>Kostnad</t>
        </is>
      </c>
      <c r="G16" s="6" t="inlineStr">
        <is>
          <t>Lønnskostnader</t>
        </is>
      </c>
      <c r="H16" s="6" t="inlineStr">
        <is>
          <t>SRS/Alle</t>
        </is>
      </c>
    </row>
    <row r="17">
      <c r="A17" s="33" t="n">
        <v>5100</v>
      </c>
      <c r="B17" s="33" t="n">
        <v>510</v>
      </c>
      <c r="C17" s="6" t="inlineStr">
        <is>
          <t>Lønn midlertidig ansatte</t>
        </is>
      </c>
      <c r="D17" s="6" t="n">
        <v>5</v>
      </c>
      <c r="E17" s="6" t="n">
        <v>51</v>
      </c>
      <c r="F17" s="6" t="inlineStr">
        <is>
          <t>Kostnad</t>
        </is>
      </c>
      <c r="G17" s="6" t="inlineStr">
        <is>
          <t>Lønnskostnader</t>
        </is>
      </c>
      <c r="H17" s="6" t="inlineStr">
        <is>
          <t>SRS/Alle</t>
        </is>
      </c>
    </row>
    <row r="18">
      <c r="A18" s="33" t="n">
        <v>5400</v>
      </c>
      <c r="B18" s="33" t="n">
        <v>540</v>
      </c>
      <c r="C18" s="6" t="inlineStr">
        <is>
          <t>Arbeidsgiveravgift</t>
        </is>
      </c>
      <c r="D18" s="6" t="n">
        <v>5</v>
      </c>
      <c r="E18" s="6" t="n">
        <v>54</v>
      </c>
      <c r="F18" s="6" t="inlineStr">
        <is>
          <t>Kostnad</t>
        </is>
      </c>
      <c r="G18" s="6" t="inlineStr">
        <is>
          <t>Lønnskostnader</t>
        </is>
      </c>
      <c r="H18" s="6" t="inlineStr">
        <is>
          <t>SRS/Alle</t>
        </is>
      </c>
    </row>
    <row r="19">
      <c r="A19" s="33" t="n">
        <v>5420</v>
      </c>
      <c r="B19" s="33" t="n">
        <v>542</v>
      </c>
      <c r="C19" s="6" t="inlineStr">
        <is>
          <t>Pensjonspremie til SPK</t>
        </is>
      </c>
      <c r="D19" s="6" t="n">
        <v>5</v>
      </c>
      <c r="E19" s="6" t="n">
        <v>54</v>
      </c>
      <c r="F19" s="6" t="inlineStr">
        <is>
          <t>Kostnad</t>
        </is>
      </c>
      <c r="G19" s="6" t="inlineStr">
        <is>
          <t>Lønnskostnader</t>
        </is>
      </c>
      <c r="H19" s="6" t="inlineStr">
        <is>
          <t>SRS/Alle</t>
        </is>
      </c>
    </row>
    <row r="20">
      <c r="A20" s="33" t="n">
        <v>5800</v>
      </c>
      <c r="B20" s="33" t="n">
        <v>580</v>
      </c>
      <c r="C20" s="6" t="inlineStr">
        <is>
          <t>Refusjon av sykepenger</t>
        </is>
      </c>
      <c r="D20" s="6" t="n">
        <v>5</v>
      </c>
      <c r="E20" s="6" t="n">
        <v>58</v>
      </c>
      <c r="F20" s="6" t="inlineStr">
        <is>
          <t>Kostnad</t>
        </is>
      </c>
      <c r="G20" s="6" t="inlineStr">
        <is>
          <t>Lønnskostnader</t>
        </is>
      </c>
      <c r="H20" s="6" t="inlineStr">
        <is>
          <t>SRS/Alle</t>
        </is>
      </c>
    </row>
    <row r="21">
      <c r="A21" s="33" t="n">
        <v>5810</v>
      </c>
      <c r="B21" s="33" t="n">
        <v>581</v>
      </c>
      <c r="C21" s="6" t="inlineStr">
        <is>
          <t>Refusjon av foreldrepenger</t>
        </is>
      </c>
      <c r="D21" s="6" t="n">
        <v>5</v>
      </c>
      <c r="E21" s="6" t="n">
        <v>58</v>
      </c>
      <c r="F21" s="6" t="inlineStr">
        <is>
          <t>Kostnad</t>
        </is>
      </c>
      <c r="G21" s="6" t="inlineStr">
        <is>
          <t>Lønnskostnader</t>
        </is>
      </c>
      <c r="H21" s="6" t="inlineStr">
        <is>
          <t>SRS/Alle</t>
        </is>
      </c>
    </row>
    <row r="22">
      <c r="A22" s="33" t="n">
        <v>6050</v>
      </c>
      <c r="B22" s="33" t="n">
        <v>605</v>
      </c>
      <c r="C22" s="6" t="inlineStr">
        <is>
          <t>Ordinære avskrivninger IKT og utstyr (SRS 17)</t>
        </is>
      </c>
      <c r="D22" s="6" t="n">
        <v>6</v>
      </c>
      <c r="E22" s="6" t="n">
        <v>60</v>
      </c>
      <c r="F22" s="6" t="inlineStr">
        <is>
          <t>Kostnad</t>
        </is>
      </c>
      <c r="G22" s="6" t="inlineStr">
        <is>
          <t>Av- og nedskrivninger</t>
        </is>
      </c>
      <c r="H22" s="6" t="inlineStr">
        <is>
          <t>SRS/Alle</t>
        </is>
      </c>
    </row>
    <row r="23">
      <c r="A23" s="33" t="n">
        <v>6300</v>
      </c>
      <c r="B23" s="33" t="n">
        <v>630</v>
      </c>
      <c r="C23" s="6" t="inlineStr">
        <is>
          <t>Leie lokaler</t>
        </is>
      </c>
      <c r="D23" s="6" t="n">
        <v>6</v>
      </c>
      <c r="E23" s="6" t="n">
        <v>63</v>
      </c>
      <c r="F23" s="6" t="inlineStr">
        <is>
          <t>Kostnad</t>
        </is>
      </c>
      <c r="G23" s="6" t="inlineStr">
        <is>
          <t>Andre driftskostnader</t>
        </is>
      </c>
      <c r="H23" s="6" t="inlineStr">
        <is>
          <t>SRS/Alle</t>
        </is>
      </c>
    </row>
    <row r="24">
      <c r="A24" s="33" t="n">
        <v>6420</v>
      </c>
      <c r="B24" s="33" t="n">
        <v>642</v>
      </c>
      <c r="C24" s="6" t="inlineStr">
        <is>
          <t>Leie av datasystemer og lisenser</t>
        </is>
      </c>
      <c r="D24" s="6" t="n">
        <v>6</v>
      </c>
      <c r="E24" s="6" t="n">
        <v>64</v>
      </c>
      <c r="F24" s="6" t="inlineStr">
        <is>
          <t>Kostnad</t>
        </is>
      </c>
      <c r="G24" s="6" t="inlineStr">
        <is>
          <t>Andre driftskostnader</t>
        </is>
      </c>
      <c r="H24" s="6" t="inlineStr">
        <is>
          <t>SRS/Alle</t>
        </is>
      </c>
    </row>
    <row r="25">
      <c r="A25" s="33" t="n">
        <v>6710</v>
      </c>
      <c r="B25" s="33" t="n">
        <v>671</v>
      </c>
      <c r="C25" s="6" t="inlineStr">
        <is>
          <t>Konsulenttjenester programvare/IKT (FOA)</t>
        </is>
      </c>
      <c r="D25" s="6" t="n">
        <v>6</v>
      </c>
      <c r="E25" s="6" t="n">
        <v>67</v>
      </c>
      <c r="F25" s="6" t="inlineStr">
        <is>
          <t>Kostnad</t>
        </is>
      </c>
      <c r="G25" s="6" t="inlineStr">
        <is>
          <t>Andre driftskostnader</t>
        </is>
      </c>
      <c r="H25" s="6" t="inlineStr">
        <is>
          <t>SRS/Alle</t>
        </is>
      </c>
    </row>
    <row r="26">
      <c r="A26" s="33" t="n">
        <v>6730</v>
      </c>
      <c r="B26" s="33" t="n">
        <v>673</v>
      </c>
      <c r="C26" s="6" t="inlineStr">
        <is>
          <t>Andre konsulenttjenester (FOA del II)</t>
        </is>
      </c>
      <c r="D26" s="6" t="n">
        <v>6</v>
      </c>
      <c r="E26" s="6" t="n">
        <v>67</v>
      </c>
      <c r="F26" s="6" t="inlineStr">
        <is>
          <t>Kostnad</t>
        </is>
      </c>
      <c r="G26" s="6" t="inlineStr">
        <is>
          <t>Andre driftskostnader</t>
        </is>
      </c>
      <c r="H26" s="6" t="inlineStr">
        <is>
          <t>SRS/Alle</t>
        </is>
      </c>
    </row>
    <row r="27">
      <c r="A27" s="33" t="n">
        <v>6740</v>
      </c>
      <c r="B27" s="33" t="n">
        <v>674</v>
      </c>
      <c r="C27" s="6" t="inlineStr">
        <is>
          <t>Innleie av vikarer og undervisningstimer</t>
        </is>
      </c>
      <c r="D27" s="6" t="n">
        <v>6</v>
      </c>
      <c r="E27" s="6" t="n">
        <v>67</v>
      </c>
      <c r="F27" s="6" t="inlineStr">
        <is>
          <t>Kostnad</t>
        </is>
      </c>
      <c r="G27" s="6" t="inlineStr">
        <is>
          <t>Andre driftskostnader</t>
        </is>
      </c>
      <c r="H27" s="6" t="inlineStr">
        <is>
          <t>SRS/Alle</t>
        </is>
      </c>
    </row>
    <row r="28">
      <c r="A28" s="33" t="n">
        <v>6800</v>
      </c>
      <c r="B28" s="33" t="n">
        <v>680</v>
      </c>
      <c r="C28" s="6" t="inlineStr">
        <is>
          <t>Kontorrekvisita og labutstyr &lt;50k</t>
        </is>
      </c>
      <c r="D28" s="6" t="n">
        <v>6</v>
      </c>
      <c r="E28" s="6" t="n">
        <v>68</v>
      </c>
      <c r="F28" s="6" t="inlineStr">
        <is>
          <t>Kostnad</t>
        </is>
      </c>
      <c r="G28" s="6" t="inlineStr">
        <is>
          <t>Andre driftskostnader</t>
        </is>
      </c>
      <c r="H28" s="6" t="inlineStr">
        <is>
          <t>SRS/Alle</t>
        </is>
      </c>
    </row>
    <row r="29">
      <c r="A29" s="33" t="n">
        <v>7130</v>
      </c>
      <c r="B29" s="33" t="n">
        <v>713</v>
      </c>
      <c r="C29" s="6" t="inlineStr">
        <is>
          <t>Reisekostnader</t>
        </is>
      </c>
      <c r="D29" s="6" t="n">
        <v>7</v>
      </c>
      <c r="E29" s="6" t="n">
        <v>71</v>
      </c>
      <c r="F29" s="6" t="inlineStr">
        <is>
          <t>Kostnad</t>
        </is>
      </c>
      <c r="G29" s="6" t="inlineStr">
        <is>
          <t>Andre driftskostnader</t>
        </is>
      </c>
      <c r="H29" s="6" t="inlineStr">
        <is>
          <t>SRS/Alle</t>
        </is>
      </c>
    </row>
    <row r="30">
      <c r="A30" s="33" t="n">
        <v>7790</v>
      </c>
      <c r="B30" s="33" t="n">
        <v>779</v>
      </c>
      <c r="C30" s="6" t="inlineStr">
        <is>
          <t>Avsetning for tap på oppdragskontrakter (SRS 9)</t>
        </is>
      </c>
      <c r="D30" s="6" t="n">
        <v>7</v>
      </c>
      <c r="E30" s="6" t="n">
        <v>77</v>
      </c>
      <c r="F30" s="6" t="inlineStr">
        <is>
          <t>Kostnad</t>
        </is>
      </c>
      <c r="G30" s="6" t="inlineStr">
        <is>
          <t>Andre driftskostnader</t>
        </is>
      </c>
      <c r="H30" s="6" t="inlineStr">
        <is>
          <t>SRS/Alle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2026-10-04T17:02:12Z</dcterms:created>
  <dcterms:modified xmlns:dcterms="http://purl.org/dc/terms/" xmlns:xsi="http://www.w3.org/2001/XMLSchema-instance" xsi:type="dcterms:W3CDTF">2026-10-04T17:02:12Z</dcterms:modified>
</cp:coreProperties>
</file>