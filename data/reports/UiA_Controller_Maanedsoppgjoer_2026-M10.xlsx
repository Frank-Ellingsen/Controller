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ammendrag &amp; Status" sheetId="1" state="visible" r:id="rId1"/>
    <sheet name="2. EVM Prosjektkontroll" sheetId="2" state="visible" r:id="rId2"/>
    <sheet name="3. Statlig Avsetning (F-05-20)" sheetId="3" state="visible" r:id="rId3"/>
    <sheet name="4. DFØ Reiseregning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NOK&quot;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1E293B"/>
      <sz val="11"/>
    </font>
    <font>
      <name val="Calibri"/>
      <b val="1"/>
      <color rgb="00991B1B"/>
      <sz val="11"/>
    </font>
    <font>
      <name val="Calibri"/>
      <b val="1"/>
      <color rgb="000F172A"/>
      <sz val="13"/>
    </font>
    <font>
      <name val="Calibri"/>
      <b val="1"/>
      <color rgb="0092400E"/>
      <sz val="11"/>
    </font>
    <font>
      <name val="Consolas"/>
      <color rgb="000F172A"/>
      <sz val="10"/>
    </font>
    <font>
      <name val="Calibri"/>
      <b val="1"/>
      <color rgb="00065F46"/>
      <sz val="11"/>
    </font>
  </fonts>
  <fills count="8">
    <fill>
      <patternFill/>
    </fill>
    <fill>
      <patternFill patternType="gray125"/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5" fillId="0" borderId="1" pivotButton="0" quotePrefix="0" xfId="0"/>
    <xf numFmtId="0" fontId="4" fillId="3" borderId="1" pivotButton="0" quotePrefix="0" xfId="0"/>
    <xf numFmtId="164" fontId="6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5" fillId="3" borderId="1" pivotButton="0" quotePrefix="0" xfId="0"/>
    <xf numFmtId="165" fontId="6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0" fontId="7" fillId="0" borderId="0" pivotButton="0" quotePrefix="0" xfId="0"/>
    <xf numFmtId="0" fontId="3" fillId="4" borderId="0" pivotButton="0" quotePrefix="0" xfId="0"/>
    <xf numFmtId="0" fontId="6" fillId="0" borderId="1" pivotButton="0" quotePrefix="0" xfId="0"/>
    <xf numFmtId="0" fontId="8" fillId="0" borderId="1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right"/>
    </xf>
    <xf numFmtId="0" fontId="9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10" fillId="5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6" borderId="2" pivotButton="0" quotePrefix="0" xfId="0"/>
    <xf numFmtId="164" fontId="4" fillId="6" borderId="2" applyAlignment="1" pivotButton="0" quotePrefix="0" xfId="0">
      <alignment horizontal="right"/>
    </xf>
    <xf numFmtId="2" fontId="4" fillId="6" borderId="2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9" fillId="3" borderId="1" pivotButton="0" quotePrefix="0" xfId="0"/>
    <xf numFmtId="164" fontId="4" fillId="3" borderId="1" applyAlignment="1" pivotButton="0" quotePrefix="0" xfId="0">
      <alignment horizontal="right"/>
    </xf>
    <xf numFmtId="0" fontId="6" fillId="3" borderId="1" pivotButton="0" quotePrefix="0" xfId="0"/>
    <xf numFmtId="0" fontId="9" fillId="7" borderId="1" pivotButton="0" quotePrefix="0" xfId="0"/>
    <xf numFmtId="0" fontId="5" fillId="7" borderId="1" pivotButton="0" quotePrefix="0" xfId="0"/>
    <xf numFmtId="164" fontId="4" fillId="7" borderId="1" applyAlignment="1" pivotButton="0" quotePrefix="0" xfId="0">
      <alignment horizontal="right"/>
    </xf>
    <xf numFmtId="0" fontId="8" fillId="7" borderId="1" pivotButton="0" quotePrefix="0" xfId="0"/>
    <xf numFmtId="0" fontId="4" fillId="7" borderId="1" applyAlignment="1" pivotButton="0" quotePrefix="0" xfId="0">
      <alignment horizontal="center"/>
    </xf>
    <xf numFmtId="0" fontId="0" fillId="6" borderId="2" pivotButton="0" quotePrefix="0" xfId="0"/>
    <xf numFmtId="164" fontId="6" fillId="6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30" customWidth="1" min="2" max="2"/>
    <col width="127" customWidth="1" min="3" max="3"/>
    <col width="61" customWidth="1" min="4" max="4"/>
  </cols>
  <sheetData>
    <row r="1">
      <c r="A1" s="1" t="inlineStr">
        <is>
          <t>UiA Handelshøyskolen — Månedsoppgjør &amp; Prosjektstatus</t>
        </is>
      </c>
    </row>
    <row r="2">
      <c r="A2" s="2" t="inlineStr">
        <is>
          <t>Rapporteringsperiode: 2026-M10 | Utarbeidet av Lead Controller | Kilde: DuckDB &amp; UBW</t>
        </is>
      </c>
    </row>
    <row r="3"/>
    <row r="4">
      <c r="A4" s="3" t="inlineStr">
        <is>
          <t>Kritiske Nøkkeltall (KPI)</t>
        </is>
      </c>
      <c r="B4" s="4" t="inlineStr">
        <is>
          <t>Verdi</t>
        </is>
      </c>
      <c r="C4" s="3" t="inlineStr">
        <is>
          <t>Måltall / Grense</t>
        </is>
      </c>
      <c r="D4" s="3" t="inlineStr">
        <is>
          <t>Status &amp; Tiltak</t>
        </is>
      </c>
    </row>
    <row r="5">
      <c r="A5" s="5" t="inlineStr">
        <is>
          <t>Portefølje Budsjett (BAC)</t>
        </is>
      </c>
      <c r="B5" s="6" t="n">
        <v>71700000</v>
      </c>
      <c r="C5" s="7" t="n">
        <v>71700000</v>
      </c>
      <c r="D5" s="8" t="inlineStr">
        <is>
          <t>3 Aktive prosjekter</t>
        </is>
      </c>
    </row>
    <row r="6">
      <c r="A6" s="5" t="inlineStr">
        <is>
          <t>Påløpte Kostnader (AC)</t>
        </is>
      </c>
      <c r="B6" s="6" t="n">
        <v>41700000</v>
      </c>
      <c r="C6" s="7" t="n">
        <v>40000000</v>
      </c>
      <c r="D6" s="8" t="inlineStr">
        <is>
          <t>Gjennomsnittlig CPI: 0.90</t>
        </is>
      </c>
    </row>
    <row r="7">
      <c r="A7" s="9" t="inlineStr">
        <is>
          <t>Projisert Sluttavvik (VAC)</t>
        </is>
      </c>
      <c r="B7" s="10" t="n">
        <v>-6501888</v>
      </c>
      <c r="C7" s="11" t="n">
        <v>0</v>
      </c>
      <c r="D7" s="12" t="inlineStr">
        <is>
          <t>KRITISK: Overforbruk på UM-ENG-03 &amp; UM-FPV-01</t>
        </is>
      </c>
    </row>
    <row r="8">
      <c r="A8" s="9" t="inlineStr">
        <is>
          <t>F-05-20 Driftsavsetning</t>
        </is>
      </c>
      <c r="B8" s="13" t="n">
        <v>0.06</v>
      </c>
      <c r="C8" s="14" t="n">
        <v>0.05</v>
      </c>
      <c r="D8" s="12" t="inlineStr">
        <is>
          <t>DISPENSASJON PÅKREVD (+12M NOK over 5% tak)</t>
        </is>
      </c>
    </row>
    <row r="9">
      <c r="A9" s="9" t="inlineStr">
        <is>
          <t>DFØ Reiseregning Avvik</t>
        </is>
      </c>
      <c r="B9" s="10" t="n">
        <v>19420</v>
      </c>
      <c r="C9" s="11" t="n">
        <v>0</v>
      </c>
      <c r="D9" s="12" t="inlineStr">
        <is>
          <t>7 Saker flagget for atestasjonsbrudd (Utbetaling sperret)</t>
        </is>
      </c>
    </row>
    <row r="10"/>
    <row r="11"/>
    <row r="12">
      <c r="A12" s="15" t="inlineStr">
        <is>
          <t>Anbefalte Ledelsestiltak</t>
        </is>
      </c>
    </row>
    <row r="13">
      <c r="A13" s="16" t="inlineStr">
        <is>
          <t>Prioritet</t>
        </is>
      </c>
      <c r="B13" s="16" t="inlineStr">
        <is>
          <t>Styringsområde</t>
        </is>
      </c>
      <c r="C13" s="16" t="inlineStr">
        <is>
          <t>Beskrivelse av tiltak</t>
        </is>
      </c>
      <c r="D13" s="16" t="inlineStr">
        <is>
          <t>Ansvarlig</t>
        </is>
      </c>
    </row>
    <row r="14">
      <c r="A14" s="17" t="inlineStr">
        <is>
          <t>P1 - Høy</t>
        </is>
      </c>
      <c r="B14" s="5" t="inlineStr">
        <is>
          <t>F-05-20 Avsetningssøknad</t>
        </is>
      </c>
      <c r="C14" s="8" t="inlineStr">
        <is>
          <t>Send formell dispenseringssøknad for 12 mill. NOK overskridelse til KD for å forhindre inndragning.</t>
        </is>
      </c>
      <c r="D14" s="8" t="inlineStr">
        <is>
          <t>Universitetsdirektør</t>
        </is>
      </c>
    </row>
    <row r="15">
      <c r="A15" s="17" t="inlineStr">
        <is>
          <t>P1 - Høy</t>
        </is>
      </c>
      <c r="B15" s="5" t="inlineStr">
        <is>
          <t>Prosjektrevisjon UM-ENG-03</t>
        </is>
      </c>
      <c r="C15" s="8" t="inlineStr">
        <is>
          <t>Kall inn prosjekteier. TCPI på 2.14 krever urealistisk effektivitet. Omfangskutt eller ombudsjettering kreves.</t>
        </is>
      </c>
      <c r="D15" s="8" t="inlineStr">
        <is>
          <t>Dekan / Controller</t>
        </is>
      </c>
    </row>
    <row r="16">
      <c r="A16" s="18" t="inlineStr">
        <is>
          <t>P2 - Medium</t>
        </is>
      </c>
      <c r="B16" s="5" t="inlineStr">
        <is>
          <t>DFØ Attestasjonsstopp</t>
        </is>
      </c>
      <c r="C16" s="8" t="inlineStr">
        <is>
          <t>Sperr utbetaling i Unit4 for 7 flaggede reiseregninger inntil 4-øyne kontrolletablering og diettjusteringer er gjennomført.</t>
        </is>
      </c>
      <c r="D16" s="8" t="inlineStr">
        <is>
          <t>Regnskapssjef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32" customWidth="1" min="2" max="2"/>
    <col width="23" customWidth="1" min="3" max="3"/>
    <col width="23" customWidth="1" min="4" max="4"/>
    <col width="23" customWidth="1" min="5" max="5"/>
    <col width="23" customWidth="1" min="6" max="6"/>
    <col width="12" customWidth="1" min="7" max="7"/>
    <col width="12" customWidth="1" min="8" max="8"/>
    <col width="23" customWidth="1" min="9" max="9"/>
    <col width="31" customWidth="1" min="10" max="10"/>
    <col width="39" customWidth="1" min="11" max="11"/>
    <col width="18" customWidth="1" min="12" max="12"/>
    <col width="20" customWidth="1" min="13" max="13"/>
    <col width="103" customWidth="1" min="14" max="14"/>
  </cols>
  <sheetData>
    <row r="1">
      <c r="A1" s="1" t="inlineStr">
        <is>
          <t>Earned Value Management (EVM) — Prosjektanalyse &amp; Fler-modell EAC</t>
        </is>
      </c>
    </row>
    <row r="2">
      <c r="A2" s="2" t="inlineStr">
        <is>
          <t>Formler er konsistente med ANSI/EIA-748 og DFØ prosjektveileder</t>
        </is>
      </c>
    </row>
    <row r="3"/>
    <row r="4">
      <c r="A4" s="19" t="inlineStr">
        <is>
          <t>Prosjekt-ID</t>
        </is>
      </c>
      <c r="B4" s="20" t="inlineStr">
        <is>
          <t>Prosjektnavn</t>
        </is>
      </c>
      <c r="C4" s="21" t="inlineStr">
        <is>
          <t>Budsjett (BAC)</t>
        </is>
      </c>
      <c r="D4" s="21" t="inlineStr">
        <is>
          <t>Planlagt (PV)</t>
        </is>
      </c>
      <c r="E4" s="21" t="inlineStr">
        <is>
          <t>Opptjent (EV)</t>
        </is>
      </c>
      <c r="F4" s="21" t="inlineStr">
        <is>
          <t>Påløpt (AC)</t>
        </is>
      </c>
      <c r="G4" s="21" t="inlineStr">
        <is>
          <t>CPI</t>
        </is>
      </c>
      <c r="H4" s="21" t="inlineStr">
        <is>
          <t>SPI</t>
        </is>
      </c>
      <c r="I4" s="21" t="inlineStr">
        <is>
          <t>EAC (Typisk CPI)</t>
        </is>
      </c>
      <c r="J4" s="21" t="inlineStr">
        <is>
          <t>EAC (Sammensatt)</t>
        </is>
      </c>
      <c r="K4" s="21" t="inlineStr">
        <is>
          <t>EAC (Vektet 80/20)</t>
        </is>
      </c>
      <c r="L4" s="21" t="inlineStr">
        <is>
          <t>Avvik (VAC)</t>
        </is>
      </c>
      <c r="M4" s="21" t="inlineStr">
        <is>
          <t>TCPI</t>
        </is>
      </c>
      <c r="N4" s="19" t="inlineStr">
        <is>
          <t>Status</t>
        </is>
      </c>
    </row>
    <row r="5">
      <c r="A5" s="22" t="inlineStr">
        <is>
          <t>UM-DEF-02</t>
        </is>
      </c>
      <c r="B5" s="8" t="inlineStr">
        <is>
          <t>Forsvarskontrakt skrogmodell</t>
        </is>
      </c>
      <c r="C5" s="23" t="n">
        <v>18500000</v>
      </c>
      <c r="D5" s="23" t="n">
        <v>12000000</v>
      </c>
      <c r="E5" s="23" t="n">
        <v>12200000</v>
      </c>
      <c r="F5" s="23" t="n">
        <v>11800000</v>
      </c>
      <c r="G5" s="24">
        <f>E5/F5</f>
        <v/>
      </c>
      <c r="H5" s="24">
        <f>E5/D5</f>
        <v/>
      </c>
      <c r="I5" s="23">
        <f>C5/G5</f>
        <v/>
      </c>
      <c r="J5" s="23">
        <f>F5+(C5-E5)/(G5*H5)</f>
        <v/>
      </c>
      <c r="K5" s="23">
        <f>F5+(C5-E5)/(0.8*G5+0.2*H5)</f>
        <v/>
      </c>
      <c r="L5" s="23">
        <f>C5-I5</f>
        <v/>
      </c>
      <c r="M5" s="24">
        <f>(C5-E5)/(C5-F5)</f>
        <v/>
      </c>
      <c r="N5" s="25">
        <f>IF(OR(G5&lt;0.85, H5&lt;0.85, L5&lt;-1000000), "CRITICAL", IF(OR(G5&lt;0.95, H5&lt;0.95), "WARNING", "ON TRACK"))</f>
        <v/>
      </c>
    </row>
    <row r="6">
      <c r="A6" s="22" t="inlineStr">
        <is>
          <t>UM-ENG-03</t>
        </is>
      </c>
      <c r="B6" s="8" t="inlineStr">
        <is>
          <t>Komposittstivhet labstudie</t>
        </is>
      </c>
      <c r="C6" s="23" t="n">
        <v>8200000</v>
      </c>
      <c r="D6" s="23" t="n">
        <v>6500000</v>
      </c>
      <c r="E6" s="23" t="n">
        <v>5200000</v>
      </c>
      <c r="F6" s="23" t="n">
        <v>6800000</v>
      </c>
      <c r="G6" s="24">
        <f>E6/F6</f>
        <v/>
      </c>
      <c r="H6" s="24">
        <f>E6/D6</f>
        <v/>
      </c>
      <c r="I6" s="23">
        <f>C6/G6</f>
        <v/>
      </c>
      <c r="J6" s="23">
        <f>F6+(C6-E6)/(G6*H6)</f>
        <v/>
      </c>
      <c r="K6" s="23">
        <f>F6+(C6-E6)/(0.8*G6+0.2*H6)</f>
        <v/>
      </c>
      <c r="L6" s="23">
        <f>C6-I6</f>
        <v/>
      </c>
      <c r="M6" s="24">
        <f>(C6-E6)/(C6-F6)</f>
        <v/>
      </c>
      <c r="N6" s="26">
        <f>IF(OR(G6&lt;0.85, H6&lt;0.85, L6&lt;-1000000), "CRITICAL", IF(OR(G6&lt;0.95, H6&lt;0.95), "WARNING", "ON TRACK"))</f>
        <v/>
      </c>
    </row>
    <row r="7">
      <c r="A7" s="22" t="inlineStr">
        <is>
          <t>UM-FPV-01</t>
        </is>
      </c>
      <c r="B7" s="8" t="inlineStr">
        <is>
          <t>Fornybar energi maritim lab</t>
        </is>
      </c>
      <c r="C7" s="23" t="n">
        <v>45000000</v>
      </c>
      <c r="D7" s="23" t="n">
        <v>22500000</v>
      </c>
      <c r="E7" s="23" t="n">
        <v>21000000</v>
      </c>
      <c r="F7" s="23" t="n">
        <v>23100000</v>
      </c>
      <c r="G7" s="24">
        <f>E7/F7</f>
        <v/>
      </c>
      <c r="H7" s="24">
        <f>E7/D7</f>
        <v/>
      </c>
      <c r="I7" s="23">
        <f>C7/G7</f>
        <v/>
      </c>
      <c r="J7" s="23">
        <f>F7+(C7-E7)/(G7*H7)</f>
        <v/>
      </c>
      <c r="K7" s="23">
        <f>F7+(C7-E7)/(0.8*G7+0.2*H7)</f>
        <v/>
      </c>
      <c r="L7" s="23">
        <f>C7-I7</f>
        <v/>
      </c>
      <c r="M7" s="24">
        <f>(C7-E7)/(C7-F7)</f>
        <v/>
      </c>
      <c r="N7" s="26">
        <f>IF(OR(G7&lt;0.85, H7&lt;0.85, L7&lt;-1000000), "CRITICAL", IF(OR(G7&lt;0.95, H7&lt;0.95), "WARNING", "ON TRACK"))</f>
        <v/>
      </c>
    </row>
    <row r="8">
      <c r="A8" s="27" t="inlineStr">
        <is>
          <t>SUM PORTEFØLJE</t>
        </is>
      </c>
      <c r="B8" s="27" t="n"/>
      <c r="C8" s="28">
        <f>SUM(C5:C7)</f>
        <v/>
      </c>
      <c r="D8" s="28">
        <f>SUM(D5:D7)</f>
        <v/>
      </c>
      <c r="E8" s="28">
        <f>SUM(E5:E7)</f>
        <v/>
      </c>
      <c r="F8" s="28">
        <f>SUM(F5:F7)</f>
        <v/>
      </c>
      <c r="G8" s="29">
        <f>E8/F8</f>
        <v/>
      </c>
      <c r="H8" s="29">
        <f>E8/D8</f>
        <v/>
      </c>
      <c r="I8" s="28">
        <f>SUM(I5:I7)</f>
        <v/>
      </c>
      <c r="J8" s="28">
        <f>SUM(J5:J7)</f>
        <v/>
      </c>
      <c r="K8" s="28">
        <f>SUM(K5:K7)</f>
        <v/>
      </c>
      <c r="L8" s="28">
        <f>C8-I8</f>
        <v/>
      </c>
      <c r="M8" s="29">
        <f>(C8-E8)/(C8-F8)</f>
        <v/>
      </c>
      <c r="N8" s="2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6" customWidth="1" min="2" max="2"/>
    <col width="23" customWidth="1" min="3" max="3"/>
    <col width="49" customWidth="1" min="4" max="4"/>
  </cols>
  <sheetData>
    <row r="1">
      <c r="A1" s="1" t="inlineStr">
        <is>
          <t>Statlig Avsetningskontroll — Kunnskapsdepartementets 5,0 % Tak</t>
        </is>
      </c>
    </row>
    <row r="2">
      <c r="A2" s="2" t="inlineStr">
        <is>
          <t>Regelverk: Finansdepartementets og Kunnskapsdepartementets rundskriv F-05-20</t>
        </is>
      </c>
    </row>
    <row r="3"/>
    <row r="4">
      <c r="A4" s="16" t="inlineStr">
        <is>
          <t>Budsjettpost / Parametersammenstilling</t>
        </is>
      </c>
      <c r="B4" s="16" t="inlineStr">
        <is>
          <t>Beløp (NOK)</t>
        </is>
      </c>
      <c r="C4" s="16" t="inlineStr">
        <is>
          <t>Andel av Bevilgning</t>
        </is>
      </c>
      <c r="D4" s="16" t="inlineStr">
        <is>
          <t>Status &amp; Kommentar</t>
        </is>
      </c>
    </row>
    <row r="5">
      <c r="A5" s="5" t="inlineStr">
        <is>
          <t>Statlig Rammebevilgning (Kap. 260, post 50)</t>
        </is>
      </c>
      <c r="B5" s="6" t="n">
        <v>1200000000</v>
      </c>
      <c r="C5" s="30">
        <f>B5/B5</f>
        <v/>
      </c>
      <c r="D5" s="8" t="inlineStr">
        <is>
          <t>Årlig tildeling over statsbudsjettet</t>
        </is>
      </c>
    </row>
    <row r="6">
      <c r="A6" s="5" t="inlineStr">
        <is>
          <t>Maksimalt Tillatt Driftsavsetning (5.0 %)</t>
        </is>
      </c>
      <c r="B6" s="6">
        <f>B5*0.05</f>
        <v/>
      </c>
      <c r="C6" s="30">
        <f>B6/B5</f>
        <v/>
      </c>
      <c r="D6" s="8" t="inlineStr">
        <is>
          <t>Maksimal automatisk overføring til neste år</t>
        </is>
      </c>
    </row>
    <row r="7">
      <c r="A7" s="5" t="inlineStr">
        <is>
          <t>Reell Akkumulert Driftsavsetning (2026-M10)</t>
        </is>
      </c>
      <c r="B7" s="6" t="n">
        <v>72000000</v>
      </c>
      <c r="C7" s="30">
        <f>B7/B5</f>
        <v/>
      </c>
      <c r="D7" s="8" t="inlineStr">
        <is>
          <t>Akkumulert ubrukt bevilgning</t>
        </is>
      </c>
    </row>
    <row r="8">
      <c r="A8" s="9" t="inlineStr">
        <is>
          <t>Overskridelse / Søknadsbeløp til KD</t>
        </is>
      </c>
      <c r="B8" s="10">
        <f>MAX(0, B7-B6)</f>
        <v/>
      </c>
      <c r="C8" s="31">
        <f>B8/B5</f>
        <v/>
      </c>
      <c r="D8" s="12" t="inlineStr">
        <is>
          <t>DISPENSASJON PÅKREVD (Risiko for inndragning)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37" customWidth="1" min="2" max="2"/>
    <col width="24" customWidth="1" min="3" max="3"/>
    <col width="60" customWidth="1" min="4" max="4"/>
    <col width="20" customWidth="1" min="5" max="5"/>
    <col width="32" customWidth="1" min="6" max="6"/>
  </cols>
  <sheetData>
    <row r="1">
      <c r="A1" s="1" t="inlineStr">
        <is>
          <t>DFØ Internkontroll — Flaggede Reiseregninger &amp; Bilagsavvik</t>
        </is>
      </c>
    </row>
    <row r="2">
      <c r="A2" s="2" t="inlineStr">
        <is>
          <t>Automatisert atestasjons- og regulativskann for 15 reiseregninger</t>
        </is>
      </c>
    </row>
    <row r="3"/>
    <row r="4">
      <c r="A4" s="16" t="inlineStr">
        <is>
          <t>Reise-ID</t>
        </is>
      </c>
      <c r="B4" s="16" t="inlineStr">
        <is>
          <t>Ansatt / Enhet</t>
        </is>
      </c>
      <c r="C4" s="16" t="inlineStr">
        <is>
          <t>Beløp (NOK)</t>
        </is>
      </c>
      <c r="D4" s="16" t="inlineStr">
        <is>
          <t>Regelbrudd Beskrivelse</t>
        </is>
      </c>
      <c r="E4" s="16" t="inlineStr">
        <is>
          <t>Sperret i Unit4?</t>
        </is>
      </c>
      <c r="F4" s="16" t="inlineStr">
        <is>
          <t>Handlingsregel</t>
        </is>
      </c>
    </row>
    <row r="5">
      <c r="A5" s="32" t="inlineStr">
        <is>
          <t>REISE-2026-004</t>
        </is>
      </c>
      <c r="B5" s="12" t="inlineStr">
        <is>
          <t>K. Hansen (Handelshøyskolen)</t>
        </is>
      </c>
      <c r="C5" s="33" t="n">
        <v>6400</v>
      </c>
      <c r="D5" s="34" t="inlineStr">
        <is>
          <t>Egengodkjenning (Attektasjon brudd / UiA fullmakt)</t>
        </is>
      </c>
      <c r="E5" s="26" t="inlineStr">
        <is>
          <t>JA</t>
        </is>
      </c>
      <c r="F5" s="12" t="inlineStr">
        <is>
          <t>Omdiriger til instituttleder</t>
        </is>
      </c>
    </row>
    <row r="6">
      <c r="A6" s="32" t="inlineStr">
        <is>
          <t>REISE-2026-014</t>
        </is>
      </c>
      <c r="B6" s="12" t="inlineStr">
        <is>
          <t>M. Olsen (Fakultetsdirektør)</t>
        </is>
      </c>
      <c r="C6" s="33" t="n">
        <v>4800</v>
      </c>
      <c r="D6" s="34" t="inlineStr">
        <is>
          <t>Egengodkjenning (Manglende 4-øyne kontroll)</t>
        </is>
      </c>
      <c r="E6" s="26" t="inlineStr">
        <is>
          <t>JA</t>
        </is>
      </c>
      <c r="F6" s="12" t="inlineStr">
        <is>
          <t>Omdiriger til dekan</t>
        </is>
      </c>
    </row>
    <row r="7">
      <c r="A7" s="35" t="inlineStr">
        <is>
          <t>REISE-2026-002</t>
        </is>
      </c>
      <c r="B7" s="36" t="inlineStr">
        <is>
          <t>J. Berg (Institutt for økonomi)</t>
        </is>
      </c>
      <c r="C7" s="37" t="n">
        <v>3100</v>
      </c>
      <c r="D7" s="38" t="inlineStr">
        <is>
          <t>Manglende måltidsfradrag (Dekket middag på konferanse)</t>
        </is>
      </c>
      <c r="E7" s="39" t="inlineStr">
        <is>
          <t>NEI</t>
        </is>
      </c>
      <c r="F7" s="36" t="inlineStr">
        <is>
          <t>Korriger diettbeløp</t>
        </is>
      </c>
    </row>
    <row r="8">
      <c r="A8" s="35" t="inlineStr">
        <is>
          <t>REISE-2026-005</t>
        </is>
      </c>
      <c r="B8" s="36" t="inlineStr">
        <is>
          <t>A. Lie (Forskning)</t>
        </is>
      </c>
      <c r="C8" s="37" t="n">
        <v>2200</v>
      </c>
      <c r="D8" s="38" t="inlineStr">
        <is>
          <t>Manglende måltidsfradrag (Lunsj inkludert i hotell)</t>
        </is>
      </c>
      <c r="E8" s="39" t="inlineStr">
        <is>
          <t>NEI</t>
        </is>
      </c>
      <c r="F8" s="36" t="inlineStr">
        <is>
          <t>Korriger diettbeløp</t>
        </is>
      </c>
    </row>
    <row r="9">
      <c r="A9" s="35" t="inlineStr">
        <is>
          <t>REISE-2026-007</t>
        </is>
      </c>
      <c r="B9" s="36" t="inlineStr">
        <is>
          <t>E. Strand (Prosjekt admin)</t>
        </is>
      </c>
      <c r="C9" s="37" t="n">
        <v>1450</v>
      </c>
      <c r="D9" s="38" t="inlineStr">
        <is>
          <t>Manglende kvittering over 100 NOK (Drosje uten bilag)</t>
        </is>
      </c>
      <c r="E9" s="39" t="inlineStr">
        <is>
          <t>NEI</t>
        </is>
      </c>
      <c r="F9" s="36" t="inlineStr">
        <is>
          <t>Etterspør bilag</t>
        </is>
      </c>
    </row>
    <row r="10">
      <c r="A10" s="35" t="inlineStr">
        <is>
          <t>REISE-2026-011</t>
        </is>
      </c>
      <c r="B10" s="36" t="inlineStr">
        <is>
          <t>P. Nygård (Doktorgradsstipendiat)</t>
        </is>
      </c>
      <c r="C10" s="37" t="n">
        <v>1020</v>
      </c>
      <c r="D10" s="38" t="inlineStr">
        <is>
          <t>Manglende originalkvittering (Bankutskrift leveres ikke)</t>
        </is>
      </c>
      <c r="E10" s="39" t="inlineStr">
        <is>
          <t>NEI</t>
        </is>
      </c>
      <c r="F10" s="36" t="inlineStr">
        <is>
          <t>Etterspør bilag</t>
        </is>
      </c>
    </row>
    <row r="11">
      <c r="A11" s="35" t="inlineStr">
        <is>
          <t>REISE-2026-006</t>
        </is>
      </c>
      <c r="B11" s="36" t="inlineStr">
        <is>
          <t>S. Foss (Gjesteforeleser)</t>
        </is>
      </c>
      <c r="C11" s="37" t="n">
        <v>450</v>
      </c>
      <c r="D11" s="38" t="inlineStr">
        <is>
          <t>Mangler kjørerutebeskrivelse i kilometergodtgjørelse</t>
        </is>
      </c>
      <c r="E11" s="39" t="inlineStr">
        <is>
          <t>NEI</t>
        </is>
      </c>
      <c r="F11" s="36" t="inlineStr">
        <is>
          <t>Innfordre kjørebok</t>
        </is>
      </c>
    </row>
    <row r="12">
      <c r="A12" s="27" t="inlineStr">
        <is>
          <t>TOTALT AVVIK</t>
        </is>
      </c>
      <c r="B12" s="40" t="n"/>
      <c r="C12" s="41">
        <f>SUM(C5:C11)</f>
        <v/>
      </c>
      <c r="D12" s="40" t="n"/>
      <c r="E12" s="40" t="n"/>
      <c r="F12" s="4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2026-10-07T07:35:03Z</dcterms:created>
  <dcterms:modified xsi:type="dcterms:W3CDTF">2026-10-07T07:35:03Z</dcterms:modified>
</cp:coreProperties>
</file>